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gneet\source\repos\hobby-projects\jagmeet-hamees\hamees-inventory\docs\excel-orders\"/>
    </mc:Choice>
  </mc:AlternateContent>
  <xr:revisionPtr revIDLastSave="0" documentId="13_ncr:1_{D5A7C0F2-7C68-429B-A694-4FAE1799344E}" xr6:coauthVersionLast="47" xr6:coauthVersionMax="47" xr10:uidLastSave="{00000000-0000-0000-0000-000000000000}"/>
  <bookViews>
    <workbookView xWindow="-108" yWindow="-108" windowWidth="39096" windowHeight="25416" tabRatio="500" activeTab="1" xr2:uid="{00000000-000D-0000-FFFF-FFFF00000000}"/>
  </bookViews>
  <sheets>
    <sheet name="Dashboard" sheetId="1" r:id="rId1"/>
    <sheet name="Search" sheetId="2" r:id="rId2"/>
    <sheet name="Entry_Form" sheetId="3" r:id="rId3"/>
    <sheet name="Customers" sheetId="4" r:id="rId4"/>
    <sheet name="Orders" sheetId="5" r:id="rId5"/>
    <sheet name="Order_Items" sheetId="6" r:id="rId6"/>
    <sheet name="Measurements" sheetId="7" r:id="rId7"/>
    <sheet name="Lists" sheetId="8" r:id="rId8"/>
    <sheet name="Item_Measurement_Config" sheetId="9" r:id="rId9"/>
    <sheet name="Instructions" sheetId="10" r:id="rId10"/>
  </sheets>
  <functionGroups builtInGroupCount="19"/>
  <definedNames>
    <definedName name="HameesStatusList">Lists!$B$2:$B$9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K31" i="3" l="1"/>
  <c r="B31" i="3"/>
  <c r="A31" i="3"/>
  <c r="K30" i="3"/>
  <c r="B30" i="3"/>
  <c r="A30" i="3"/>
  <c r="K29" i="3"/>
  <c r="B29" i="3"/>
  <c r="A29" i="3"/>
  <c r="K28" i="3"/>
  <c r="B28" i="3"/>
  <c r="A28" i="3"/>
  <c r="K27" i="3"/>
  <c r="B27" i="3"/>
  <c r="A27" i="3"/>
  <c r="K26" i="3"/>
  <c r="B26" i="3"/>
  <c r="A26" i="3"/>
  <c r="K25" i="3"/>
  <c r="B25" i="3"/>
  <c r="A25" i="3"/>
  <c r="K24" i="3"/>
  <c r="B24" i="3"/>
  <c r="A24" i="3"/>
  <c r="K23" i="3"/>
  <c r="B23" i="3"/>
  <c r="A23" i="3"/>
  <c r="K22" i="3"/>
  <c r="B22" i="3"/>
  <c r="A22" i="3"/>
  <c r="B8" i="3"/>
  <c r="B5" i="3"/>
  <c r="B4" i="3"/>
  <c r="B40" i="1"/>
  <c r="B39" i="1"/>
  <c r="B38" i="1"/>
  <c r="B37" i="1"/>
  <c r="B36" i="1"/>
  <c r="E35" i="1"/>
  <c r="B35" i="1"/>
  <c r="E34" i="1"/>
  <c r="B34" i="1"/>
  <c r="K33" i="1"/>
  <c r="H33" i="1"/>
  <c r="E33" i="1"/>
  <c r="B33" i="1"/>
  <c r="K9" i="1"/>
  <c r="G6" i="1"/>
  <c r="D6" i="1"/>
  <c r="A6" i="1"/>
  <c r="J3" i="1"/>
  <c r="G3" i="1"/>
  <c r="D3" i="1"/>
  <c r="A3" i="1"/>
  <c r="B14" i="3" l="1"/>
  <c r="L33" i="1"/>
  <c r="K34" i="1"/>
  <c r="H34" i="1"/>
  <c r="I33" i="1"/>
  <c r="B16" i="3" l="1"/>
  <c r="L34" i="1"/>
  <c r="K35" i="1"/>
  <c r="I34" i="1"/>
  <c r="H35" i="1"/>
  <c r="L35" i="1" l="1"/>
  <c r="K36" i="1"/>
  <c r="I35" i="1"/>
  <c r="H36" i="1"/>
  <c r="L36" i="1" l="1"/>
  <c r="K37" i="1"/>
  <c r="I36" i="1"/>
  <c r="H37" i="1"/>
  <c r="L37" i="1" l="1"/>
  <c r="K38" i="1"/>
  <c r="I37" i="1"/>
  <c r="H38" i="1"/>
  <c r="L38" i="1" l="1"/>
  <c r="K39" i="1"/>
  <c r="L39" i="1" s="1"/>
  <c r="I38" i="1"/>
  <c r="H39" i="1"/>
  <c r="I39" i="1" s="1"/>
</calcChain>
</file>

<file path=xl/sharedStrings.xml><?xml version="1.0" encoding="utf-8"?>
<sst xmlns="http://schemas.openxmlformats.org/spreadsheetml/2006/main" count="532" uniqueCount="191">
  <si>
    <t>HAMEES ATTIRE - Daily Production Dashboard</t>
  </si>
  <si>
    <t>ORDERS TODAY</t>
  </si>
  <si>
    <t>TRIALS TODAY</t>
  </si>
  <si>
    <t>DELIVERIES TODAY</t>
  </si>
  <si>
    <t>READY, NOT DELIVERED</t>
  </si>
  <si>
    <t>URGENT ITEMS</t>
  </si>
  <si>
    <t>WEDDING / VIP</t>
  </si>
  <si>
    <t>OPEN ORDERS</t>
  </si>
  <si>
    <t>Run Refresh Dashboard to list today's trials, deliveries, urgent/VIP and ready items below.</t>
  </si>
  <si>
    <t>Order ID</t>
  </si>
  <si>
    <t>Customer Name</t>
  </si>
  <si>
    <t>Mobile</t>
  </si>
  <si>
    <t>Item ID</t>
  </si>
  <si>
    <t>Item Type</t>
  </si>
  <si>
    <t>Qty</t>
  </si>
  <si>
    <t>Fit Type</t>
  </si>
  <si>
    <t>Priority</t>
  </si>
  <si>
    <t>Status</t>
  </si>
  <si>
    <t>Try Date</t>
  </si>
  <si>
    <t>Delivery Date</t>
  </si>
  <si>
    <t>Staff</t>
  </si>
  <si>
    <t>Item Notes</t>
  </si>
  <si>
    <t>ORD-00002</t>
  </si>
  <si>
    <t>Harleen Singh</t>
  </si>
  <si>
    <t>ORD-00002-01</t>
  </si>
  <si>
    <t>Pant</t>
  </si>
  <si>
    <t>Comfort</t>
  </si>
  <si>
    <t>Urgent</t>
  </si>
  <si>
    <t>Stitching</t>
  </si>
  <si>
    <t>Cutter</t>
  </si>
  <si>
    <t>ORD-00003</t>
  </si>
  <si>
    <t>ORD-00003-01</t>
  </si>
  <si>
    <t>Pajama</t>
  </si>
  <si>
    <t>Slim</t>
  </si>
  <si>
    <t>Stitcher</t>
  </si>
  <si>
    <t>Urgent.  This can be a long line items and provide all the details required to ensure that the users requirements have been captured</t>
  </si>
  <si>
    <t>ORD-00004</t>
  </si>
  <si>
    <t>Yadvinder Bhatia</t>
  </si>
  <si>
    <t>ORD-00004-01</t>
  </si>
  <si>
    <t>Wedding/VIP</t>
  </si>
  <si>
    <t>Booked</t>
  </si>
  <si>
    <t>These are the notes for the Ordeer Item</t>
  </si>
  <si>
    <t>Additional Production Analytics</t>
  </si>
  <si>
    <t>Count</t>
  </si>
  <si>
    <t>Trial Date (Next 7 Days)</t>
  </si>
  <si>
    <t>Items</t>
  </si>
  <si>
    <t>Delivery Date (Next 7 Days)</t>
  </si>
  <si>
    <t>Normal</t>
  </si>
  <si>
    <t>Cutting</t>
  </si>
  <si>
    <t>Trial Pending</t>
  </si>
  <si>
    <t>Alteration</t>
  </si>
  <si>
    <t>Ready</t>
  </si>
  <si>
    <t>Delivered</t>
  </si>
  <si>
    <t>Cancelled</t>
  </si>
  <si>
    <t>Search Orders and Customers</t>
  </si>
  <si>
    <t>Search Term</t>
  </si>
  <si>
    <t>Enter any below &amp; then click on Search Orders</t>
  </si>
  <si>
    <t>Mobile Number</t>
  </si>
  <si>
    <t>Customer ID</t>
  </si>
  <si>
    <t>Order Date</t>
  </si>
  <si>
    <t>HAMEES ATTIRE - Tailoring Order Entry</t>
  </si>
  <si>
    <t>Order + Customer Details</t>
  </si>
  <si>
    <t>Order ID (read-only)</t>
  </si>
  <si>
    <t>Taken By</t>
  </si>
  <si>
    <t>Customer ID (read-only)</t>
  </si>
  <si>
    <t>Address</t>
  </si>
  <si>
    <t>Email</t>
  </si>
  <si>
    <t>Payment Status</t>
  </si>
  <si>
    <t>Total Amount (auto)</t>
  </si>
  <si>
    <t>Amount Paid (advance)</t>
  </si>
  <si>
    <t>Balance (auto)</t>
  </si>
  <si>
    <t>Order Notes</t>
  </si>
  <si>
    <t>Items in this Order - Try Date and Delivery Date are per item</t>
  </si>
  <si>
    <t>Rate</t>
  </si>
  <si>
    <t>Amount</t>
  </si>
  <si>
    <t>After entering Items, click the button below</t>
  </si>
  <si>
    <t>Measurements - One row per Item ID. Run Refresh Measurement Rows after adding item types. Only relevant measurement cells are highlighted for the selected item type.</t>
  </si>
  <si>
    <t>Measurement Date</t>
  </si>
  <si>
    <t>Length</t>
  </si>
  <si>
    <t>Chest</t>
  </si>
  <si>
    <t>Shoulder</t>
  </si>
  <si>
    <t>Sleeve</t>
  </si>
  <si>
    <t>Bicep</t>
  </si>
  <si>
    <t>Elbow</t>
  </si>
  <si>
    <t>Collar</t>
  </si>
  <si>
    <t>Waist</t>
  </si>
  <si>
    <t>Hips</t>
  </si>
  <si>
    <t>Inseam</t>
  </si>
  <si>
    <t>Outseam</t>
  </si>
  <si>
    <t>Thigh</t>
  </si>
  <si>
    <t>Knee</t>
  </si>
  <si>
    <t>Bottom</t>
  </si>
  <si>
    <t>Back</t>
  </si>
  <si>
    <t>Back Round</t>
  </si>
  <si>
    <t>Back Down</t>
  </si>
  <si>
    <t>RSD</t>
  </si>
  <si>
    <t>LSD</t>
  </si>
  <si>
    <t>SD</t>
  </si>
  <si>
    <t>Notes</t>
  </si>
  <si>
    <t>Last Updated</t>
  </si>
  <si>
    <t>CUST-00001</t>
  </si>
  <si>
    <t>Jaskiran Singh</t>
  </si>
  <si>
    <t>10 Meerankot Road</t>
  </si>
  <si>
    <t>jas.kiran23@gmail.com</t>
  </si>
  <si>
    <t>Notes for this customer. This can be a long line items and provide all the details required to ensure that the users requirements have been captured</t>
  </si>
  <si>
    <t>CUST-00002</t>
  </si>
  <si>
    <t>4300 Ranjitpura, Putligarh</t>
  </si>
  <si>
    <t>harleen.s55@gmail.com</t>
  </si>
  <si>
    <t>CUST-00003</t>
  </si>
  <si>
    <t>19 Sector 35A, Mohali</t>
  </si>
  <si>
    <t>yadvinder.bhatia@gmail.com</t>
  </si>
  <si>
    <t>These are the notes for the Customer</t>
  </si>
  <si>
    <t>Total Amount</t>
  </si>
  <si>
    <t>Amount Paid</t>
  </si>
  <si>
    <t>Balance</t>
  </si>
  <si>
    <t>Order Status</t>
  </si>
  <si>
    <t>Created At</t>
  </si>
  <si>
    <t>ORD-00001</t>
  </si>
  <si>
    <t>Front Desk</t>
  </si>
  <si>
    <t>Unpaid</t>
  </si>
  <si>
    <t>Part Paid</t>
  </si>
  <si>
    <t>Order Notes for the person</t>
  </si>
  <si>
    <t>Setup the cloth and stitching</t>
  </si>
  <si>
    <t>ORD-00001-01</t>
  </si>
  <si>
    <t>Kurta</t>
  </si>
  <si>
    <t>Regular</t>
  </si>
  <si>
    <t xml:space="preserve"> This can be a long line items and provide all the details required to ensure that the users requirements have been captured</t>
  </si>
  <si>
    <t>ORD-00001-02</t>
  </si>
  <si>
    <t>Length, Chest, Shoulder, Sleeve, Bicep, Elbow, Collar, Waist, Hips</t>
  </si>
  <si>
    <t>Length, Waist, Hips, Inseam, Outseam, Thigh, Knee, Bottom</t>
  </si>
  <si>
    <t>Item Types</t>
  </si>
  <si>
    <t>Fit Types</t>
  </si>
  <si>
    <t>Priorities</t>
  </si>
  <si>
    <t>Shirt</t>
  </si>
  <si>
    <t>Master Tailor</t>
  </si>
  <si>
    <t>Paid</t>
  </si>
  <si>
    <t>Kurta Pajama</t>
  </si>
  <si>
    <t>Loose</t>
  </si>
  <si>
    <t>Refunded</t>
  </si>
  <si>
    <t>Finishing</t>
  </si>
  <si>
    <t>Custom</t>
  </si>
  <si>
    <t>Coat</t>
  </si>
  <si>
    <t>Blazer</t>
  </si>
  <si>
    <t>Sherwani</t>
  </si>
  <si>
    <t>Waistcoat</t>
  </si>
  <si>
    <t>Other</t>
  </si>
  <si>
    <t>X</t>
  </si>
  <si>
    <t>Hamees Tailoring Order Management - v3 UX Fixed</t>
  </si>
  <si>
    <t>What changed in v3</t>
  </si>
  <si>
    <t>Order ID and Customer ID are read-only fields; use the VBA macro SetupEntryFormProtection after importing the macro file.</t>
  </si>
  <si>
    <t>Total Amount and Balance are formula-driven and update from the item Amount column.</t>
  </si>
  <si>
    <t>Items in this Order now auto-populates Order ID, Item ID, and Amount when Item Type, Qty, and Rate are entered.</t>
  </si>
  <si>
    <t>Try Date and Delivery Date live only at item level because each garment can have a different trial/delivery date.</t>
  </si>
  <si>
    <t>Measurements are linked by Order ID + Item ID. Customer name/mobile are intentionally not repeated.</t>
  </si>
  <si>
    <t>Measurement Date defaults to TODAY() when an Item ID is present.</t>
  </si>
  <si>
    <t>Run RefreshMeasurementRows after adding item types. It links measurement rows to item rows and highlights only measurements relevant to that item type.</t>
  </si>
  <si>
    <t>Import Hamees_Excel_VBA_Macros_v3.bas into a macro-enabled copy of this workbook and save as .xlsm.</t>
  </si>
  <si>
    <t>Suggested buttons on Entry_Form: PrefillCustomerByMobile, RefreshMeasurementRows, SubmitOrderFromEntryForm, ClearEntryForm.</t>
  </si>
  <si>
    <t>Suggested buttons on Dashboard/Search: RefreshDashboard and SearchOrders.</t>
  </si>
  <si>
    <t>Colour Legend &amp; Conventions</t>
  </si>
  <si>
    <t>Swatch</t>
  </si>
  <si>
    <t>Where you see it</t>
  </si>
  <si>
    <t>What it means</t>
  </si>
  <si>
    <t>Item_Measurement_Config matrix</t>
  </si>
  <si>
    <t>A green "X" marks a measurement that IS relevant for that garment type. Only these cells are unlocked/highlighted on the Entry Form.</t>
  </si>
  <si>
    <t>Dashboard daily list – row highlight</t>
  </si>
  <si>
    <t>Orange row = Urgent priority item – prioritise these.</t>
  </si>
  <si>
    <t>VIP</t>
  </si>
  <si>
    <t>Purple row = Wedding/VIP item – highest attention.</t>
  </si>
  <si>
    <t>Green row = item Status is "Ready" (made, awaiting delivery).</t>
  </si>
  <si>
    <t>Overdue</t>
  </si>
  <si>
    <t>Dashboard – Delivery/Trial dates</t>
  </si>
  <si>
    <t>Red bold date = the delivery/trial date is in the past and the item is not yet delivered (overdue).</t>
  </si>
  <si>
    <t>Input</t>
  </si>
  <si>
    <t>Entry Form input cells</t>
  </si>
  <si>
    <t>Yellow cells = you type here. Grey cells = auto-filled / read-only (do not edit).</t>
  </si>
  <si>
    <t>₹1,500</t>
  </si>
  <si>
    <t>Amount columns (Orders, Items)</t>
  </si>
  <si>
    <t>Indian Rupee. Format: ₹1,500. Negative shown in (brackets). A zero shows as a dash –.</t>
  </si>
  <si>
    <t>Customer Measurements</t>
  </si>
  <si>
    <t>Order / Item Status</t>
  </si>
  <si>
    <t>CUST-00004</t>
  </si>
  <si>
    <t>Sukhmeet Ahuja</t>
  </si>
  <si>
    <t>10 Southgate St, Point Cook, Melbourne</t>
  </si>
  <si>
    <t>sukhmeet.ahuja@gmail.com</t>
  </si>
  <si>
    <t>Notes for the customer to inform the tailor and the shop to understand what they are going to be doing about what needs to eb done</t>
  </si>
  <si>
    <t>These are the notes for the Order Item</t>
  </si>
  <si>
    <t>ORD-00005</t>
  </si>
  <si>
    <t>ORD-00005-01</t>
  </si>
  <si>
    <t>Item Status</t>
  </si>
  <si>
    <t>sukh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</si>
</sst>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m/d/yyyy"/>
    <numFmt numFmtId="165" formatCode="[$-C09]dd\-mmmm\-yyyy;@"/>
    <numFmt numFmtId="166" formatCode="dd\-mmm"/>
    <numFmt numFmtId="167" formatCode="dd\-mmm\-yyyy"/>
    <numFmt numFmtId="168" formatCode="\₹#,##0.00"/>
    <numFmt numFmtId="169" formatCode="[$₹-4009]\ #,##0;\([$₹-4009]\ #,##0\);\-"/>
  </numFmts>
  <fonts count="24" x14ac:knownFonts="1">
    <font>
      <sz val="11"/>
      <name val="Calibri"/>
      <charset val="1"/>
    </font>
    <font>
      <b/>
      <sz val="16"/>
      <color rgb="FFFFFFFF"/>
      <name val="Calibri"/>
      <charset val="1"/>
    </font>
    <font>
      <b/>
      <sz val="28"/>
      <color rgb="FFFFFFFF"/>
      <name val="Calibri"/>
      <charset val="1"/>
    </font>
    <font>
      <b/>
      <sz val="10"/>
      <color rgb="FFFFFFFF"/>
      <name val="Calibri"/>
      <charset val="1"/>
    </font>
    <font>
      <b/>
      <sz val="11"/>
      <color rgb="FF1F4E78"/>
      <name val="Calibri"/>
      <charset val="1"/>
    </font>
    <font>
      <b/>
      <sz val="11"/>
      <color rgb="FFFFFFFF"/>
      <name val="Calibri"/>
      <charset val="1"/>
    </font>
    <font>
      <b/>
      <sz val="14"/>
      <color rgb="FFFFFFFF"/>
      <name val="Calibri"/>
      <charset val="1"/>
    </font>
    <font>
      <i/>
      <sz val="11"/>
      <name val="Calibri"/>
      <charset val="1"/>
    </font>
    <font>
      <b/>
      <i/>
      <sz val="11"/>
      <name val="Calibri"/>
      <charset val="1"/>
    </font>
    <font>
      <i/>
      <sz val="11"/>
      <color rgb="FF1F4E78"/>
      <name val="Calibri"/>
      <charset val="1"/>
    </font>
    <font>
      <b/>
      <sz val="11"/>
      <name val="Calibri"/>
      <charset val="1"/>
    </font>
    <font>
      <b/>
      <sz val="11"/>
      <color rgb="FF666666"/>
      <name val="Calibri"/>
      <charset val="1"/>
    </font>
    <font>
      <b/>
      <sz val="10"/>
      <name val="Calibri"/>
      <charset val="1"/>
    </font>
    <font>
      <b/>
      <sz val="11"/>
      <color rgb="FFB08D57"/>
      <name val="Arial"/>
      <charset val="1"/>
    </font>
    <font>
      <b/>
      <sz val="11"/>
      <color rgb="FF006100"/>
      <name val="Calibri"/>
      <charset val="1"/>
    </font>
    <font>
      <b/>
      <sz val="11"/>
      <color rgb="FFC55A11"/>
      <name val="Calibri"/>
      <charset val="1"/>
    </font>
    <font>
      <b/>
      <sz val="11"/>
      <color rgb="FF5B2C8D"/>
      <name val="Calibri"/>
      <charset val="1"/>
    </font>
    <font>
      <b/>
      <sz val="11"/>
      <color rgb="FF385723"/>
      <name val="Calibri"/>
      <charset val="1"/>
    </font>
    <font>
      <b/>
      <sz val="11"/>
      <color rgb="FFC00000"/>
      <name val="Calibri"/>
      <charset val="1"/>
    </font>
    <font>
      <b/>
      <sz val="11"/>
      <color rgb="FF000000"/>
      <name val="Calibri"/>
      <charset val="1"/>
    </font>
    <font>
      <b/>
      <sz val="11"/>
      <color rgb="FFFFFFFF"/>
      <name val="Calibri"/>
      <family val="2"/>
    </font>
    <font>
      <sz val="11"/>
      <name val="Calibri"/>
      <family val="2"/>
    </font>
    <font>
      <b/>
      <sz val="14"/>
      <color rgb="FFFFFFFF"/>
      <name val="Calibri"/>
      <family val="2"/>
    </font>
    <font>
      <b/>
      <sz val="11"/>
      <color rgb="FF1F4E78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rgb="FF17365D"/>
        <bgColor rgb="FF1F4E78"/>
      </patternFill>
    </fill>
    <fill>
      <patternFill patternType="solid">
        <fgColor rgb="FF1F4E78"/>
        <bgColor rgb="FF1F4E79"/>
      </patternFill>
    </fill>
    <fill>
      <patternFill patternType="solid">
        <fgColor rgb="FF2E75B6"/>
        <bgColor rgb="FF156082"/>
      </patternFill>
    </fill>
    <fill>
      <patternFill patternType="solid">
        <fgColor rgb="FF156082"/>
        <bgColor rgb="FF1F4E79"/>
      </patternFill>
    </fill>
    <fill>
      <patternFill patternType="solid">
        <fgColor rgb="FF1F9E89"/>
        <bgColor rgb="FF2E75B6"/>
      </patternFill>
    </fill>
    <fill>
      <patternFill patternType="solid">
        <fgColor rgb="FFC55A11"/>
        <bgColor rgb="FF993300"/>
      </patternFill>
    </fill>
    <fill>
      <patternFill patternType="solid">
        <fgColor rgb="FF7030A0"/>
        <bgColor rgb="FF5B2C8D"/>
      </patternFill>
    </fill>
    <fill>
      <patternFill patternType="solid">
        <fgColor rgb="FF385723"/>
        <bgColor rgb="FF333300"/>
      </patternFill>
    </fill>
    <fill>
      <patternFill patternType="solid">
        <fgColor rgb="FFD9EAF7"/>
        <bgColor rgb="FFDCEAF7"/>
      </patternFill>
    </fill>
    <fill>
      <patternFill patternType="solid">
        <fgColor rgb="FF1F4E79"/>
        <bgColor rgb="FF1F4E78"/>
      </patternFill>
    </fill>
    <fill>
      <patternFill patternType="solid">
        <fgColor rgb="FFFFF2CC"/>
        <bgColor rgb="FFFCE4D6"/>
      </patternFill>
    </fill>
    <fill>
      <patternFill patternType="solid">
        <fgColor theme="3" tint="0.89989928891872917"/>
        <bgColor rgb="FFD9EAF7"/>
      </patternFill>
    </fill>
    <fill>
      <patternFill patternType="solid">
        <fgColor theme="4" tint="0.79989013336588644"/>
        <bgColor rgb="FFD9EAF7"/>
      </patternFill>
    </fill>
    <fill>
      <patternFill patternType="solid">
        <fgColor rgb="FFF2F2F2"/>
        <bgColor rgb="FFF2F7FB"/>
      </patternFill>
    </fill>
    <fill>
      <patternFill patternType="solid">
        <fgColor rgb="FFE7E6E6"/>
        <bgColor rgb="FFE2EFDA"/>
      </patternFill>
    </fill>
    <fill>
      <patternFill patternType="solid">
        <fgColor theme="5" tint="0.79989013336588644"/>
        <bgColor rgb="FFFCE4D6"/>
      </patternFill>
    </fill>
    <fill>
      <patternFill patternType="solid">
        <fgColor rgb="FFE2F0D9"/>
        <bgColor rgb="FFE2EFDA"/>
      </patternFill>
    </fill>
    <fill>
      <patternFill patternType="solid">
        <fgColor rgb="FFF2F7FB"/>
        <bgColor rgb="FFF2F2F2"/>
      </patternFill>
    </fill>
    <fill>
      <patternFill patternType="solid">
        <fgColor rgb="FFC6EFCE"/>
        <bgColor rgb="FFC1E5F5"/>
      </patternFill>
    </fill>
    <fill>
      <patternFill patternType="solid">
        <fgColor rgb="FFFCE4D6"/>
        <bgColor rgb="FFFBE3D6"/>
      </patternFill>
    </fill>
    <fill>
      <patternFill patternType="solid">
        <fgColor rgb="FFE9D7F2"/>
        <bgColor rgb="FFDCDCDC"/>
      </patternFill>
    </fill>
    <fill>
      <patternFill patternType="solid">
        <fgColor rgb="FFE2EFDA"/>
        <bgColor rgb="FFE2F0D9"/>
      </patternFill>
    </fill>
    <fill>
      <patternFill patternType="solid">
        <fgColor rgb="FFFFFFFF"/>
        <bgColor rgb="FFF2F7FB"/>
      </patternFill>
    </fill>
    <fill>
      <patternFill patternType="solid">
        <fgColor rgb="FFD9EAF7"/>
        <bgColor indexed="64"/>
      </patternFill>
    </fill>
    <fill>
      <patternFill patternType="solid">
        <fgColor rgb="FF1F4E79"/>
        <bgColor indexed="64"/>
      </patternFill>
    </fill>
  </fills>
  <borders count="8">
    <border>
      <left/>
      <right/>
      <top/>
      <bottom/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/>
      <bottom style="thin">
        <color rgb="FFBFBFBF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4" fillId="10" borderId="0" xfId="0" applyFont="1" applyFill="1"/>
    <xf numFmtId="0" fontId="0" fillId="0" borderId="1" xfId="0" applyBorder="1" applyAlignment="1" applyProtection="1">
      <alignment wrapText="1"/>
      <protection locked="0"/>
    </xf>
    <xf numFmtId="164" fontId="0" fillId="0" borderId="1" xfId="0" applyNumberFormat="1" applyBorder="1" applyAlignment="1" applyProtection="1">
      <alignment wrapText="1"/>
      <protection locked="0"/>
    </xf>
    <xf numFmtId="165" fontId="0" fillId="0" borderId="1" xfId="0" applyNumberFormat="1" applyBorder="1" applyAlignment="1" applyProtection="1">
      <alignment wrapText="1"/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5" fillId="5" borderId="2" xfId="0" applyFont="1" applyFill="1" applyBorder="1"/>
    <xf numFmtId="0" fontId="5" fillId="5" borderId="3" xfId="0" applyFont="1" applyFill="1" applyBorder="1"/>
    <xf numFmtId="0" fontId="5" fillId="5" borderId="4" xfId="0" applyFont="1" applyFill="1" applyBorder="1"/>
    <xf numFmtId="166" fontId="0" fillId="0" borderId="0" xfId="0" applyNumberFormat="1"/>
    <xf numFmtId="0" fontId="7" fillId="13" borderId="0" xfId="0" applyFont="1" applyFill="1" applyAlignment="1">
      <alignment wrapText="1"/>
    </xf>
    <xf numFmtId="0" fontId="8" fillId="14" borderId="0" xfId="0" applyFont="1" applyFill="1" applyAlignment="1">
      <alignment horizontal="left" indent="1"/>
    </xf>
    <xf numFmtId="164" fontId="0" fillId="0" borderId="0" xfId="0" applyNumberFormat="1"/>
    <xf numFmtId="167" fontId="11" fillId="16" borderId="0" xfId="0" applyNumberFormat="1" applyFont="1" applyFill="1" applyAlignment="1" applyProtection="1">
      <alignment wrapText="1"/>
      <protection locked="0"/>
    </xf>
    <xf numFmtId="0" fontId="0" fillId="12" borderId="0" xfId="0" applyFill="1" applyAlignment="1" applyProtection="1">
      <alignment wrapText="1"/>
      <protection locked="0"/>
    </xf>
    <xf numFmtId="0" fontId="0" fillId="12" borderId="0" xfId="0" applyFill="1" applyAlignment="1" applyProtection="1">
      <alignment wrapText="1"/>
      <protection locked="0" hidden="1"/>
    </xf>
    <xf numFmtId="168" fontId="0" fillId="12" borderId="0" xfId="0" applyNumberFormat="1" applyFill="1" applyAlignment="1" applyProtection="1">
      <alignment wrapText="1"/>
      <protection locked="0"/>
    </xf>
    <xf numFmtId="0" fontId="0" fillId="12" borderId="0" xfId="0" applyFill="1" applyProtection="1">
      <protection locked="0"/>
    </xf>
    <xf numFmtId="1" fontId="0" fillId="12" borderId="0" xfId="0" applyNumberFormat="1" applyFill="1" applyProtection="1">
      <protection locked="0"/>
    </xf>
    <xf numFmtId="167" fontId="0" fillId="12" borderId="0" xfId="0" applyNumberFormat="1" applyFill="1" applyProtection="1">
      <protection locked="0"/>
    </xf>
    <xf numFmtId="168" fontId="0" fillId="12" borderId="0" xfId="0" applyNumberFormat="1" applyFill="1" applyProtection="1">
      <protection locked="0"/>
    </xf>
    <xf numFmtId="0" fontId="5" fillId="3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167" fontId="5" fillId="3" borderId="0" xfId="0" applyNumberFormat="1" applyFont="1" applyFill="1" applyAlignment="1">
      <alignment horizontal="center" vertical="center" wrapText="1"/>
    </xf>
    <xf numFmtId="168" fontId="5" fillId="3" borderId="0" xfId="0" applyNumberFormat="1" applyFont="1" applyFill="1" applyAlignment="1">
      <alignment horizontal="center" vertical="center" wrapText="1"/>
    </xf>
    <xf numFmtId="169" fontId="0" fillId="0" borderId="0" xfId="0" applyNumberFormat="1"/>
    <xf numFmtId="0" fontId="0" fillId="0" borderId="0" xfId="0" applyAlignment="1">
      <alignment vertical="top" wrapText="1"/>
    </xf>
    <xf numFmtId="0" fontId="5" fillId="3" borderId="6" xfId="0" applyFont="1" applyFill="1" applyBorder="1" applyAlignment="1">
      <alignment horizontal="center" vertical="center" wrapText="1"/>
    </xf>
    <xf numFmtId="0" fontId="0" fillId="0" borderId="6" xfId="0" applyBorder="1"/>
    <xf numFmtId="0" fontId="10" fillId="10" borderId="6" xfId="0" applyFont="1" applyFill="1" applyBorder="1"/>
    <xf numFmtId="0" fontId="0" fillId="0" borderId="6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4" fillId="10" borderId="0" xfId="0" applyFont="1" applyFill="1" applyAlignment="1">
      <alignment horizontal="left"/>
    </xf>
    <xf numFmtId="0" fontId="0" fillId="19" borderId="0" xfId="0" applyFill="1" applyAlignment="1">
      <alignment vertical="top" wrapText="1"/>
    </xf>
    <xf numFmtId="0" fontId="5" fillId="3" borderId="5" xfId="0" applyFont="1" applyFill="1" applyBorder="1" applyAlignment="1">
      <alignment horizontal="center"/>
    </xf>
    <xf numFmtId="0" fontId="5" fillId="3" borderId="5" xfId="0" applyFont="1" applyFill="1" applyBorder="1" applyAlignment="1">
      <alignment vertical="top" wrapText="1"/>
    </xf>
    <xf numFmtId="0" fontId="14" fillId="20" borderId="5" xfId="0" applyFont="1" applyFill="1" applyBorder="1" applyAlignment="1">
      <alignment horizontal="center"/>
    </xf>
    <xf numFmtId="0" fontId="0" fillId="0" borderId="5" xfId="0" applyBorder="1" applyAlignment="1">
      <alignment vertical="top" wrapText="1"/>
    </xf>
    <xf numFmtId="0" fontId="15" fillId="21" borderId="5" xfId="0" applyFont="1" applyFill="1" applyBorder="1" applyAlignment="1">
      <alignment horizontal="center"/>
    </xf>
    <xf numFmtId="0" fontId="16" fillId="22" borderId="5" xfId="0" applyFont="1" applyFill="1" applyBorder="1" applyAlignment="1">
      <alignment horizontal="center"/>
    </xf>
    <xf numFmtId="0" fontId="17" fillId="23" borderId="5" xfId="0" applyFont="1" applyFill="1" applyBorder="1" applyAlignment="1">
      <alignment horizontal="center"/>
    </xf>
    <xf numFmtId="0" fontId="18" fillId="24" borderId="5" xfId="0" applyFont="1" applyFill="1" applyBorder="1" applyAlignment="1">
      <alignment horizontal="center"/>
    </xf>
    <xf numFmtId="0" fontId="19" fillId="12" borderId="5" xfId="0" applyFont="1" applyFill="1" applyBorder="1" applyAlignment="1">
      <alignment horizontal="center"/>
    </xf>
    <xf numFmtId="0" fontId="19" fillId="24" borderId="5" xfId="0" applyFont="1" applyFill="1" applyBorder="1" applyAlignment="1">
      <alignment horizontal="center"/>
    </xf>
    <xf numFmtId="0" fontId="20" fillId="11" borderId="0" xfId="0" applyFont="1" applyFill="1" applyAlignment="1">
      <alignment horizontal="center" vertical="center" wrapText="1"/>
    </xf>
    <xf numFmtId="0" fontId="0" fillId="0" borderId="1" xfId="0" applyBorder="1" applyProtection="1">
      <protection locked="0"/>
    </xf>
    <xf numFmtId="0" fontId="20" fillId="11" borderId="0" xfId="0" applyFont="1" applyFill="1" applyAlignment="1" applyProtection="1">
      <alignment horizontal="center" vertical="center" wrapText="1"/>
      <protection locked="0"/>
    </xf>
    <xf numFmtId="0" fontId="21" fillId="12" borderId="0" xfId="0" applyFont="1" applyFill="1"/>
    <xf numFmtId="0" fontId="21" fillId="0" borderId="0" xfId="0" applyFont="1"/>
    <xf numFmtId="14" fontId="0" fillId="0" borderId="0" xfId="0" applyNumberFormat="1"/>
    <xf numFmtId="0" fontId="10" fillId="15" borderId="0" xfId="0" applyFont="1" applyFill="1" applyProtection="1">
      <protection locked="0"/>
    </xf>
    <xf numFmtId="0" fontId="11" fillId="16" borderId="0" xfId="0" applyFont="1" applyFill="1" applyAlignment="1" applyProtection="1">
      <alignment wrapText="1"/>
      <protection locked="0"/>
    </xf>
    <xf numFmtId="0" fontId="0" fillId="17" borderId="0" xfId="0" applyFill="1" applyProtection="1">
      <protection locked="0"/>
    </xf>
    <xf numFmtId="0" fontId="0" fillId="17" borderId="0" xfId="0" applyFill="1" applyAlignment="1" applyProtection="1">
      <alignment wrapText="1"/>
      <protection locked="0"/>
    </xf>
    <xf numFmtId="0" fontId="11" fillId="12" borderId="0" xfId="0" applyFont="1" applyFill="1" applyAlignment="1" applyProtection="1">
      <alignment wrapText="1"/>
      <protection locked="0"/>
    </xf>
    <xf numFmtId="168" fontId="0" fillId="18" borderId="0" xfId="0" applyNumberFormat="1" applyFill="1" applyAlignment="1" applyProtection="1">
      <alignment wrapText="1"/>
      <protection locked="0"/>
    </xf>
    <xf numFmtId="0" fontId="5" fillId="3" borderId="0" xfId="0" applyFont="1" applyFill="1" applyAlignment="1" applyProtection="1">
      <alignment horizontal="center" vertical="center" wrapText="1"/>
      <protection locked="0"/>
    </xf>
    <xf numFmtId="0" fontId="11" fillId="16" borderId="0" xfId="0" applyFont="1" applyFill="1" applyProtection="1">
      <protection locked="0"/>
    </xf>
    <xf numFmtId="168" fontId="0" fillId="18" borderId="0" xfId="0" applyNumberFormat="1" applyFill="1" applyProtection="1">
      <protection locked="0"/>
    </xf>
    <xf numFmtId="22" fontId="0" fillId="0" borderId="0" xfId="0" applyNumberFormat="1"/>
    <xf numFmtId="0" fontId="1" fillId="2" borderId="0" xfId="0" applyFont="1" applyFill="1" applyAlignment="1" applyProtection="1">
      <alignment horizontal="center" vertical="center"/>
      <protection locked="0"/>
    </xf>
    <xf numFmtId="0" fontId="4" fillId="10" borderId="0" xfId="0" applyFont="1" applyFill="1" applyAlignment="1" applyProtection="1">
      <alignment horizontal="center"/>
      <protection locked="0"/>
    </xf>
    <xf numFmtId="0" fontId="0" fillId="12" borderId="0" xfId="0" applyFill="1" applyAlignment="1" applyProtection="1">
      <alignment horizontal="left" vertical="top" wrapText="1"/>
      <protection locked="0"/>
    </xf>
    <xf numFmtId="0" fontId="5" fillId="3" borderId="0" xfId="0" applyFont="1" applyFill="1" applyAlignment="1" applyProtection="1">
      <alignment horizontal="center" vertical="center" wrapText="1"/>
      <protection locked="0"/>
    </xf>
    <xf numFmtId="0" fontId="12" fillId="13" borderId="0" xfId="0" applyFont="1" applyFill="1" applyAlignment="1" applyProtection="1">
      <alignment horizontal="center" vertical="center"/>
      <protection locked="0"/>
    </xf>
    <xf numFmtId="0" fontId="23" fillId="25" borderId="0" xfId="0" applyFont="1" applyFill="1" applyAlignment="1" applyProtection="1">
      <alignment horizontal="center"/>
      <protection locked="0"/>
    </xf>
    <xf numFmtId="0" fontId="1" fillId="2" borderId="0" xfId="0" applyFont="1" applyFill="1" applyAlignment="1">
      <alignment horizontal="center"/>
    </xf>
    <xf numFmtId="1" fontId="2" fillId="3" borderId="0" xfId="0" applyNumberFormat="1" applyFont="1" applyFill="1" applyAlignment="1">
      <alignment horizontal="center" vertical="center"/>
    </xf>
    <xf numFmtId="1" fontId="2" fillId="4" borderId="0" xfId="0" applyNumberFormat="1" applyFont="1" applyFill="1" applyAlignment="1">
      <alignment horizontal="center" vertical="center"/>
    </xf>
    <xf numFmtId="1" fontId="2" fillId="5" borderId="0" xfId="0" applyNumberFormat="1" applyFont="1" applyFill="1" applyAlignment="1">
      <alignment horizontal="center" vertical="center"/>
    </xf>
    <xf numFmtId="1" fontId="2" fillId="6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top"/>
    </xf>
    <xf numFmtId="0" fontId="3" fillId="4" borderId="0" xfId="0" applyFont="1" applyFill="1" applyAlignment="1">
      <alignment horizontal="center" vertical="top"/>
    </xf>
    <xf numFmtId="0" fontId="3" fillId="5" borderId="0" xfId="0" applyFont="1" applyFill="1" applyAlignment="1">
      <alignment horizontal="center" vertical="top"/>
    </xf>
    <xf numFmtId="0" fontId="3" fillId="6" borderId="0" xfId="0" applyFont="1" applyFill="1" applyAlignment="1">
      <alignment horizontal="center" vertical="top"/>
    </xf>
    <xf numFmtId="1" fontId="2" fillId="7" borderId="0" xfId="0" applyNumberFormat="1" applyFont="1" applyFill="1" applyAlignment="1">
      <alignment horizontal="center" vertical="center"/>
    </xf>
    <xf numFmtId="1" fontId="2" fillId="8" borderId="0" xfId="0" applyNumberFormat="1" applyFont="1" applyFill="1" applyAlignment="1">
      <alignment horizontal="center" vertical="center"/>
    </xf>
    <xf numFmtId="1" fontId="2" fillId="9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top"/>
    </xf>
    <xf numFmtId="0" fontId="3" fillId="8" borderId="0" xfId="0" applyFont="1" applyFill="1" applyAlignment="1">
      <alignment horizontal="center" vertical="top"/>
    </xf>
    <xf numFmtId="0" fontId="3" fillId="9" borderId="0" xfId="0" applyFont="1" applyFill="1" applyAlignment="1">
      <alignment horizontal="center" vertical="top"/>
    </xf>
    <xf numFmtId="0" fontId="4" fillId="10" borderId="0" xfId="0" applyFont="1" applyFill="1" applyAlignment="1">
      <alignment horizontal="center"/>
    </xf>
    <xf numFmtId="0" fontId="6" fillId="5" borderId="0" xfId="0" applyFont="1" applyFill="1" applyAlignment="1">
      <alignment horizontal="left"/>
    </xf>
    <xf numFmtId="0" fontId="22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9" fillId="10" borderId="0" xfId="0" applyFont="1" applyFill="1"/>
    <xf numFmtId="0" fontId="1" fillId="2" borderId="0" xfId="0" applyFont="1" applyFill="1" applyAlignment="1">
      <alignment horizontal="center" wrapText="1"/>
    </xf>
    <xf numFmtId="0" fontId="6" fillId="5" borderId="7" xfId="0" applyFont="1" applyFill="1" applyBorder="1" applyAlignment="1">
      <alignment horizontal="left" vertical="center"/>
    </xf>
    <xf numFmtId="0" fontId="20" fillId="26" borderId="0" xfId="0" applyFont="1" applyFill="1"/>
  </cellXfs>
  <cellStyles count="1">
    <cellStyle name="Normal" xfId="0" builtinId="0"/>
  </cellStyles>
  <dxfs count="10">
    <dxf>
      <font>
        <b/>
        <color rgb="FF006100"/>
      </font>
      <fill>
        <patternFill>
          <bgColor rgb="FFC6EFCE"/>
        </patternFill>
      </fill>
    </dxf>
    <dxf>
      <font>
        <b/>
        <color rgb="FF006100"/>
      </font>
      <fill>
        <patternFill>
          <bgColor rgb="FFC6EFCE"/>
        </patternFill>
      </fill>
    </dxf>
    <dxf>
      <font>
        <b/>
        <color rgb="FF006100"/>
      </font>
      <fill>
        <patternFill>
          <bgColor rgb="FFC6EFCE"/>
        </patternFill>
      </fill>
    </dxf>
    <dxf>
      <font>
        <b/>
        <color rgb="FF006100"/>
      </font>
      <fill>
        <patternFill>
          <bgColor rgb="FFC6EFCE"/>
        </patternFill>
      </fill>
    </dxf>
    <dxf>
      <numFmt numFmtId="19" formatCode="d/mm/yyyy"/>
    </dxf>
    <dxf>
      <numFmt numFmtId="19" formatCode="d/mm/yyyy"/>
    </dxf>
    <dxf>
      <font>
        <b/>
        <color rgb="FFC00000"/>
      </font>
    </dxf>
    <dxf>
      <font>
        <color rgb="FF385723"/>
      </font>
      <fill>
        <patternFill>
          <bgColor rgb="FFE2EFDA"/>
        </patternFill>
      </fill>
    </dxf>
    <dxf>
      <font>
        <b/>
        <color rgb="FFC55A11"/>
      </font>
      <fill>
        <patternFill>
          <bgColor rgb="FFFCE4D6"/>
        </patternFill>
      </fill>
    </dxf>
    <dxf>
      <font>
        <b/>
        <color rgb="FF5B2C8D"/>
      </font>
      <fill>
        <patternFill>
          <bgColor rgb="FFE9D7F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E2EFDA"/>
      <rgbColor rgb="FFFF00FF"/>
      <rgbColor rgb="FF00FFFF"/>
      <rgbColor rgb="FF800000"/>
      <rgbColor rgb="FF006100"/>
      <rgbColor rgb="FF000080"/>
      <rgbColor rgb="FF808000"/>
      <rgbColor rgb="FF800080"/>
      <rgbColor rgb="FF156082"/>
      <rgbColor rgb="FFBFBFBF"/>
      <rgbColor rgb="FF808080"/>
      <rgbColor rgb="FFE7E6E6"/>
      <rgbColor rgb="FF7030A0"/>
      <rgbColor rgb="FFFFF2CC"/>
      <rgbColor rgb="FFD9EAF7"/>
      <rgbColor rgb="FF660066"/>
      <rgbColor rgb="FFF2F7FB"/>
      <rgbColor rgb="FF1F4E79"/>
      <rgbColor rgb="FFD9D9D9"/>
      <rgbColor rgb="FF000080"/>
      <rgbColor rgb="FFFF00FF"/>
      <rgbColor rgb="FFF2F2F2"/>
      <rgbColor rgb="FF00FFFF"/>
      <rgbColor rgb="FF800080"/>
      <rgbColor rgb="FF800000"/>
      <rgbColor rgb="FF1F4E78"/>
      <rgbColor rgb="FF0000FF"/>
      <rgbColor rgb="FF00CCFF"/>
      <rgbColor rgb="FFDCEAF7"/>
      <rgbColor rgb="FFC6EFCE"/>
      <rgbColor rgb="FFE2F0D9"/>
      <rgbColor rgb="FFC1E5F5"/>
      <rgbColor rgb="FFDCDCDC"/>
      <rgbColor rgb="FFE9D7F2"/>
      <rgbColor rgb="FFFBE3D6"/>
      <rgbColor rgb="FF2E75B6"/>
      <rgbColor rgb="FF33CCCC"/>
      <rgbColor rgb="FF99CC00"/>
      <rgbColor rgb="FFFCE4D6"/>
      <rgbColor rgb="FFFF9900"/>
      <rgbColor rgb="FFC55A11"/>
      <rgbColor rgb="FF666666"/>
      <rgbColor rgb="FFB08D57"/>
      <rgbColor rgb="FF17365D"/>
      <rgbColor rgb="FF1F9E89"/>
      <rgbColor rgb="FF003300"/>
      <rgbColor rgb="FF333300"/>
      <rgbColor rgb="FF993300"/>
      <rgbColor rgb="FF993366"/>
      <rgbColor rgb="FF5B2C8D"/>
      <rgbColor rgb="FF38572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Status Summary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Dashboard!$B$32</c:f>
              <c:strCache>
                <c:ptCount val="1"/>
                <c:pt idx="0">
                  <c:v>Count</c:v>
                </c:pt>
              </c:strCache>
            </c:strRef>
          </c:tx>
          <c:invertIfNegative val="0"/>
          <c:cat>
            <c:strRef>
              <c:f>Dashboard!$A$33:$A$40</c:f>
              <c:strCache>
                <c:ptCount val="8"/>
                <c:pt idx="0">
                  <c:v>Booked</c:v>
                </c:pt>
                <c:pt idx="1">
                  <c:v>Cutting</c:v>
                </c:pt>
                <c:pt idx="2">
                  <c:v>Stitching</c:v>
                </c:pt>
                <c:pt idx="3">
                  <c:v>Trial Pending</c:v>
                </c:pt>
                <c:pt idx="4">
                  <c:v>Alteration</c:v>
                </c:pt>
                <c:pt idx="5">
                  <c:v>Ready</c:v>
                </c:pt>
                <c:pt idx="6">
                  <c:v>Delivered</c:v>
                </c:pt>
                <c:pt idx="7">
                  <c:v>Cancelled</c:v>
                </c:pt>
              </c:strCache>
            </c:strRef>
          </c:cat>
          <c:val>
            <c:numRef>
              <c:f>Dashboard!$B$33:$B$40</c:f>
              <c:numCache>
                <c:formatCode>General</c:formatCode>
                <c:ptCount val="8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64-4A40-BCA5-502458796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8399024"/>
        <c:axId val="1448386064"/>
      </c:barChart>
      <c:catAx>
        <c:axId val="1448399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48386064"/>
        <c:crosses val="autoZero"/>
        <c:auto val="1"/>
        <c:lblAlgn val="ctr"/>
        <c:lblOffset val="100"/>
        <c:noMultiLvlLbl val="0"/>
      </c:catAx>
      <c:valAx>
        <c:axId val="1448386064"/>
        <c:scaling>
          <c:orientation val="minMax"/>
          <c:max val="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48399024"/>
        <c:crosses val="autoZero"/>
        <c:crossBetween val="between"/>
        <c:majorUnit val="1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Priority Summary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Dashboard!$E$32</c:f>
              <c:strCache>
                <c:ptCount val="1"/>
                <c:pt idx="0">
                  <c:v>Count</c:v>
                </c:pt>
              </c:strCache>
            </c:strRef>
          </c:tx>
          <c:invertIfNegative val="0"/>
          <c:cat>
            <c:strRef>
              <c:f>Dashboard!$D$33:$D$35</c:f>
              <c:strCache>
                <c:ptCount val="3"/>
                <c:pt idx="0">
                  <c:v>Normal</c:v>
                </c:pt>
                <c:pt idx="1">
                  <c:v>Urgent</c:v>
                </c:pt>
                <c:pt idx="2">
                  <c:v>Wedding/VIP</c:v>
                </c:pt>
              </c:strCache>
            </c:strRef>
          </c:cat>
          <c:val>
            <c:numRef>
              <c:f>Dashboard!$E$33:$E$35</c:f>
              <c:numCache>
                <c:formatCode>General</c:formatCode>
                <c:ptCount val="3"/>
                <c:pt idx="0">
                  <c:v>2</c:v>
                </c:pt>
                <c:pt idx="1">
                  <c:v>2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07-4918-B59C-76542B65F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909801695"/>
        <c:axId val="909802175"/>
        <c:extLst/>
      </c:barChart>
      <c:catAx>
        <c:axId val="9098016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09802175"/>
        <c:crosses val="autoZero"/>
        <c:auto val="1"/>
        <c:lblAlgn val="ctr"/>
        <c:lblOffset val="100"/>
        <c:noMultiLvlLbl val="0"/>
      </c:catAx>
      <c:valAx>
        <c:axId val="909802175"/>
        <c:scaling>
          <c:orientation val="minMax"/>
          <c:max val="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09801695"/>
        <c:crosses val="autoZero"/>
        <c:crossBetween val="between"/>
        <c:majorUnit val="1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Deliveries - Next 7 Days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Dashboard!$L$32</c:f>
              <c:strCache>
                <c:ptCount val="1"/>
                <c:pt idx="0">
                  <c:v>Items</c:v>
                </c:pt>
              </c:strCache>
            </c:strRef>
          </c:tx>
          <c:cat>
            <c:numRef>
              <c:f>Dashboard!$K$33:$K$39</c:f>
              <c:numCache>
                <c:formatCode>dd\-mmm</c:formatCode>
                <c:ptCount val="7"/>
                <c:pt idx="0">
                  <c:v>46173</c:v>
                </c:pt>
                <c:pt idx="1">
                  <c:v>46174</c:v>
                </c:pt>
                <c:pt idx="2">
                  <c:v>46175</c:v>
                </c:pt>
                <c:pt idx="3">
                  <c:v>46176</c:v>
                </c:pt>
                <c:pt idx="4">
                  <c:v>46177</c:v>
                </c:pt>
                <c:pt idx="5">
                  <c:v>46178</c:v>
                </c:pt>
                <c:pt idx="6">
                  <c:v>46179</c:v>
                </c:pt>
              </c:numCache>
            </c:numRef>
          </c:cat>
          <c:val>
            <c:numRef>
              <c:f>Dashboard!$L$33:$L$39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B6-48A5-9D61-90A2872D2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8183184"/>
        <c:axId val="1708185104"/>
      </c:lineChart>
      <c:dateAx>
        <c:axId val="1708183184"/>
        <c:scaling>
          <c:orientation val="minMax"/>
        </c:scaling>
        <c:delete val="0"/>
        <c:axPos val="b"/>
        <c:numFmt formatCode="dd\-mmm" sourceLinked="1"/>
        <c:majorTickMark val="out"/>
        <c:minorTickMark val="none"/>
        <c:tickLblPos val="nextTo"/>
        <c:crossAx val="1708185104"/>
        <c:crosses val="autoZero"/>
        <c:auto val="1"/>
        <c:lblOffset val="100"/>
        <c:baseTimeUnit val="days"/>
      </c:dateAx>
      <c:valAx>
        <c:axId val="1708185104"/>
        <c:scaling>
          <c:orientation val="minMax"/>
          <c:max val="5"/>
        </c:scaling>
        <c:delete val="0"/>
        <c:axPos val="l"/>
        <c:majorGridlines/>
        <c:numFmt formatCode="#,##0;[Red]#,##0" sourceLinked="0"/>
        <c:majorTickMark val="out"/>
        <c:minorTickMark val="none"/>
        <c:tickLblPos val="nextTo"/>
        <c:crossAx val="1708183184"/>
        <c:crosses val="autoZero"/>
        <c:crossBetween val="between"/>
        <c:majorUnit val="1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Trails - Next 7 Days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Dashboard!$I$32</c:f>
              <c:strCache>
                <c:ptCount val="1"/>
                <c:pt idx="0">
                  <c:v>Items</c:v>
                </c:pt>
              </c:strCache>
            </c:strRef>
          </c:tx>
          <c:cat>
            <c:numRef>
              <c:f>Dashboard!$H$33:$H$39</c:f>
              <c:numCache>
                <c:formatCode>dd\-mmm</c:formatCode>
                <c:ptCount val="7"/>
                <c:pt idx="0">
                  <c:v>46173</c:v>
                </c:pt>
                <c:pt idx="1">
                  <c:v>46174</c:v>
                </c:pt>
                <c:pt idx="2">
                  <c:v>46175</c:v>
                </c:pt>
                <c:pt idx="3">
                  <c:v>46176</c:v>
                </c:pt>
                <c:pt idx="4">
                  <c:v>46177</c:v>
                </c:pt>
                <c:pt idx="5">
                  <c:v>46178</c:v>
                </c:pt>
                <c:pt idx="6">
                  <c:v>46179</c:v>
                </c:pt>
              </c:numCache>
            </c:numRef>
          </c:cat>
          <c:val>
            <c:numRef>
              <c:f>Dashboard!$I$33:$I$39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E8-4858-9205-7B4FDD49D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3439472"/>
        <c:axId val="1063442352"/>
      </c:lineChart>
      <c:dateAx>
        <c:axId val="1063439472"/>
        <c:scaling>
          <c:orientation val="minMax"/>
        </c:scaling>
        <c:delete val="0"/>
        <c:axPos val="b"/>
        <c:numFmt formatCode="[$-C09]dd\-mmm;@" sourceLinked="0"/>
        <c:majorTickMark val="out"/>
        <c:minorTickMark val="none"/>
        <c:tickLblPos val="nextTo"/>
        <c:crossAx val="1063442352"/>
        <c:crosses val="autoZero"/>
        <c:auto val="1"/>
        <c:lblOffset val="100"/>
        <c:baseTimeUnit val="days"/>
      </c:dateAx>
      <c:valAx>
        <c:axId val="1063442352"/>
        <c:scaling>
          <c:orientation val="minMax"/>
          <c:max val="5"/>
        </c:scaling>
        <c:delete val="0"/>
        <c:axPos val="l"/>
        <c:majorGridlines/>
        <c:numFmt formatCode="#,##0;[Red]#,##0" sourceLinked="0"/>
        <c:majorTickMark val="out"/>
        <c:minorTickMark val="none"/>
        <c:tickLblPos val="nextTo"/>
        <c:crossAx val="1063439472"/>
        <c:crosses val="autoZero"/>
        <c:crossBetween val="between"/>
        <c:majorUnit val="1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320040</xdr:colOff>
      <xdr:row>4</xdr:row>
      <xdr:rowOff>68580</xdr:rowOff>
    </xdr:from>
    <xdr:to>
      <xdr:col>11</xdr:col>
      <xdr:colOff>751840</xdr:colOff>
      <xdr:row>6</xdr:row>
      <xdr:rowOff>251460</xdr:rowOff>
    </xdr:to>
    <xdr:sp macro="[0]!RefreshDashboard" textlink="">
      <xdr:nvSpPr>
        <xdr:cNvPr id="2" name="btnRefreshDashboard">
          <a:extLst>
            <a:ext uri="{FF2B5EF4-FFF2-40B4-BE49-F238E27FC236}">
              <a16:creationId xmlns:a16="http://schemas.microsoft.com/office/drawing/2014/main" id="{F9A3AF5B-DD22-4D48-B61B-CDC9598F9CA9}"/>
            </a:ext>
          </a:extLst>
        </xdr:cNvPr>
        <xdr:cNvSpPr/>
      </xdr:nvSpPr>
      <xdr:spPr>
        <a:xfrm>
          <a:off x="8633460" y="1341120"/>
          <a:ext cx="3235960" cy="807720"/>
        </a:xfrm>
        <a:prstGeom prst="roundRect">
          <a:avLst/>
        </a:prstGeom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kumimoji="0" lang="en-AU" sz="1400" b="1" i="0" u="none" strike="noStrike" kern="0" cap="small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t>🔄 Refresh Dashboard</a:t>
          </a:r>
        </a:p>
      </xdr:txBody>
    </xdr:sp>
    <xdr:clientData/>
  </xdr:twoCellAnchor>
  <xdr:twoCellAnchor>
    <xdr:from>
      <xdr:col>0</xdr:col>
      <xdr:colOff>152400</xdr:colOff>
      <xdr:row>41</xdr:row>
      <xdr:rowOff>91440</xdr:rowOff>
    </xdr:from>
    <xdr:to>
      <xdr:col>12</xdr:col>
      <xdr:colOff>1295400</xdr:colOff>
      <xdr:row>74</xdr:row>
      <xdr:rowOff>5080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9B95DF19-249A-4BA4-98E4-7C2D0E2BBA09}"/>
            </a:ext>
          </a:extLst>
        </xdr:cNvPr>
        <xdr:cNvGrpSpPr/>
      </xdr:nvGrpSpPr>
      <xdr:grpSpPr>
        <a:xfrm>
          <a:off x="152400" y="8404860"/>
          <a:ext cx="13228320" cy="5948680"/>
          <a:chOff x="594360" y="7345680"/>
          <a:chExt cx="11285221" cy="5948680"/>
        </a:xfrm>
      </xdr:grpSpPr>
      <xdr:graphicFrame macro="">
        <xdr:nvGraphicFramePr>
          <xdr:cNvPr id="4" name="Hamees_StatusChart">
            <a:extLst>
              <a:ext uri="{FF2B5EF4-FFF2-40B4-BE49-F238E27FC236}">
                <a16:creationId xmlns:a16="http://schemas.microsoft.com/office/drawing/2014/main" id="{3D609F9E-E30E-DA0F-407F-716BDE0417A8}"/>
              </a:ext>
            </a:extLst>
          </xdr:cNvPr>
          <xdr:cNvGraphicFramePr/>
        </xdr:nvGraphicFramePr>
        <xdr:xfrm>
          <a:off x="594360" y="7345680"/>
          <a:ext cx="5158455" cy="2794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5" name="Hamees_PriorityChart">
            <a:extLst>
              <a:ext uri="{FF2B5EF4-FFF2-40B4-BE49-F238E27FC236}">
                <a16:creationId xmlns:a16="http://schemas.microsoft.com/office/drawing/2014/main" id="{0138A894-54DC-BBF8-43AF-9FC87052F9EE}"/>
              </a:ext>
            </a:extLst>
          </xdr:cNvPr>
          <xdr:cNvGraphicFramePr/>
        </xdr:nvGraphicFramePr>
        <xdr:xfrm>
          <a:off x="6897183" y="7360920"/>
          <a:ext cx="4982398" cy="27660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6" name="Hamees_7DayChart">
            <a:extLst>
              <a:ext uri="{FF2B5EF4-FFF2-40B4-BE49-F238E27FC236}">
                <a16:creationId xmlns:a16="http://schemas.microsoft.com/office/drawing/2014/main" id="{BE1F2561-200D-74A4-1F27-F6858E8E316D}"/>
              </a:ext>
            </a:extLst>
          </xdr:cNvPr>
          <xdr:cNvGraphicFramePr/>
        </xdr:nvGraphicFramePr>
        <xdr:xfrm>
          <a:off x="6888380" y="10515600"/>
          <a:ext cx="4968341" cy="27355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7" name="Hamees_PaymentChart">
            <a:extLst>
              <a:ext uri="{FF2B5EF4-FFF2-40B4-BE49-F238E27FC236}">
                <a16:creationId xmlns:a16="http://schemas.microsoft.com/office/drawing/2014/main" id="{6BC326C2-800B-1AF4-BF69-0426ED871129}"/>
              </a:ext>
            </a:extLst>
          </xdr:cNvPr>
          <xdr:cNvGraphicFramePr/>
        </xdr:nvGraphicFramePr>
        <xdr:xfrm>
          <a:off x="601980" y="10500360"/>
          <a:ext cx="5159638" cy="2794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</xdr:colOff>
      <xdr:row>2</xdr:row>
      <xdr:rowOff>7620</xdr:rowOff>
    </xdr:from>
    <xdr:to>
      <xdr:col>6</xdr:col>
      <xdr:colOff>76520</xdr:colOff>
      <xdr:row>11</xdr:row>
      <xdr:rowOff>115140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6173479E-18D7-28D7-0BE7-3441A8F37FD9}"/>
            </a:ext>
          </a:extLst>
        </xdr:cNvPr>
        <xdr:cNvGrpSpPr/>
      </xdr:nvGrpSpPr>
      <xdr:grpSpPr>
        <a:xfrm>
          <a:off x="5311140" y="457200"/>
          <a:ext cx="2530160" cy="1928700"/>
          <a:chOff x="4297680" y="632460"/>
          <a:chExt cx="2530160" cy="1928700"/>
        </a:xfrm>
      </xdr:grpSpPr>
      <xdr:sp macro="[0]!SearchOrders" textlink="">
        <xdr:nvSpPr>
          <xdr:cNvPr id="2" name="btnSearchOrders">
            <a:extLst>
              <a:ext uri="{FF2B5EF4-FFF2-40B4-BE49-F238E27FC236}">
                <a16:creationId xmlns:a16="http://schemas.microsoft.com/office/drawing/2014/main" id="{68C980FC-2B72-498C-ACA5-0FBFED85883A}"/>
              </a:ext>
            </a:extLst>
          </xdr:cNvPr>
          <xdr:cNvSpPr/>
        </xdr:nvSpPr>
        <xdr:spPr>
          <a:xfrm>
            <a:off x="4297680" y="632460"/>
            <a:ext cx="2520000" cy="900000"/>
          </a:xfrm>
          <a:prstGeom prst="roundRect">
            <a:avLst/>
          </a:prstGeom>
          <a:solidFill>
            <a:srgbClr val="1F9E89"/>
          </a:solidFill>
          <a:ln w="19050">
            <a:noFill/>
            <a:prstDash val="solid"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54000" bIns="54000" rtlCol="0" anchor="ctr" anchorCtr="1"/>
          <a:lstStyle/>
          <a:p>
            <a:pPr algn="ctr"/>
            <a:r>
              <a:rPr kumimoji="0" lang="en-AU" sz="1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t>🔍 Search Orders</a:t>
            </a:r>
          </a:p>
        </xdr:txBody>
      </xdr:sp>
      <xdr:sp macro="[0]!RefreshMeasurementRows" textlink="">
        <xdr:nvSpPr>
          <xdr:cNvPr id="3" name="btnRefreshCards">
            <a:extLst>
              <a:ext uri="{FF2B5EF4-FFF2-40B4-BE49-F238E27FC236}">
                <a16:creationId xmlns:a16="http://schemas.microsoft.com/office/drawing/2014/main" id="{0B84E479-7FB7-4C4A-A7A2-224BD1EE3F87}"/>
              </a:ext>
            </a:extLst>
          </xdr:cNvPr>
          <xdr:cNvSpPr/>
        </xdr:nvSpPr>
        <xdr:spPr>
          <a:xfrm>
            <a:off x="4307840" y="1661160"/>
            <a:ext cx="2520000" cy="900000"/>
          </a:xfrm>
          <a:prstGeom prst="roundRect">
            <a:avLst/>
          </a:prstGeom>
          <a:solidFill>
            <a:srgbClr val="2E75B6"/>
          </a:solidFill>
          <a:ln w="19050">
            <a:noFill/>
            <a:prstDash val="solid"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54000" bIns="54000" rtlCol="0" anchor="ctr" anchorCtr="1"/>
          <a:lstStyle/>
          <a:p>
            <a:pPr algn="ctr"/>
            <a:r>
              <a:rPr kumimoji="0" lang="en-AU" sz="14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t>📐 Refresh Measurement Cards</a:t>
            </a:r>
          </a:p>
        </xdr:txBody>
      </xdr:sp>
    </xdr:grpSp>
    <xdr:clientData/>
  </xdr:twoCellAnchor>
  <xdr:twoCellAnchor>
    <xdr:from>
      <xdr:col>10</xdr:col>
      <xdr:colOff>1638300</xdr:colOff>
      <xdr:row>1</xdr:row>
      <xdr:rowOff>144780</xdr:rowOff>
    </xdr:from>
    <xdr:to>
      <xdr:col>10</xdr:col>
      <xdr:colOff>3733800</xdr:colOff>
      <xdr:row>13</xdr:row>
      <xdr:rowOff>30480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F706455C-AE25-095F-0B0D-ACD50B0E80E6}"/>
            </a:ext>
          </a:extLst>
        </xdr:cNvPr>
        <xdr:cNvGrpSpPr/>
      </xdr:nvGrpSpPr>
      <xdr:grpSpPr>
        <a:xfrm>
          <a:off x="12031980" y="411480"/>
          <a:ext cx="2095500" cy="2255520"/>
          <a:chOff x="9387840" y="632460"/>
          <a:chExt cx="2667000" cy="2255520"/>
        </a:xfrm>
      </xdr:grpSpPr>
      <xdr:sp macro="[0]!DeleteOrderForCustomer" textlink="">
        <xdr:nvSpPr>
          <xdr:cNvPr id="5" name="btnDeleteOrder">
            <a:extLst>
              <a:ext uri="{FF2B5EF4-FFF2-40B4-BE49-F238E27FC236}">
                <a16:creationId xmlns:a16="http://schemas.microsoft.com/office/drawing/2014/main" id="{E856CBE5-BCBA-4C0F-BE58-DE42C3FEAAC7}"/>
              </a:ext>
            </a:extLst>
          </xdr:cNvPr>
          <xdr:cNvSpPr/>
        </xdr:nvSpPr>
        <xdr:spPr>
          <a:xfrm>
            <a:off x="9387840" y="632460"/>
            <a:ext cx="2667000" cy="638355"/>
          </a:xfrm>
          <a:prstGeom prst="roundRect">
            <a:avLst/>
          </a:prstGeom>
          <a:solidFill>
            <a:srgbClr val="C00000"/>
          </a:solidFill>
          <a:ln w="19050">
            <a:noFill/>
            <a:prstDash val="solid"/>
          </a:ln>
          <a:effectLst>
            <a:glow rad="88900">
              <a:srgbClr val="FF0000">
                <a:alpha val="40000"/>
              </a:srgbClr>
            </a:glow>
            <a:softEdge rad="12700"/>
          </a:effectLst>
          <a:scene3d>
            <a:camera prst="orthographicFront"/>
            <a:lightRig rig="threePt" dir="t"/>
          </a:scene3d>
          <a:sp3d extrusionH="12700" contourW="38100">
            <a:bevelT w="6350"/>
            <a:bevelB w="6350"/>
            <a:contourClr>
              <a:schemeClr val="accent2">
                <a:lumMod val="40000"/>
                <a:lumOff val="60000"/>
              </a:schemeClr>
            </a:contourClr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kumimoji="0" lang="en-AU" sz="10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  <a:p>
            <a:pPr algn="ctr"/>
            <a:r>
              <a:rPr kumimoji="0" lang="en-AU" sz="10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t>🗑 Delete Order (keep customer)</a:t>
            </a:r>
          </a:p>
        </xdr:txBody>
      </xdr:sp>
      <xdr:sp macro="[0]!DeleteItemFromCustomerOrder" textlink="">
        <xdr:nvSpPr>
          <xdr:cNvPr id="6" name="btnDeleteItem">
            <a:extLst>
              <a:ext uri="{FF2B5EF4-FFF2-40B4-BE49-F238E27FC236}">
                <a16:creationId xmlns:a16="http://schemas.microsoft.com/office/drawing/2014/main" id="{28B284B3-7B38-4EF9-B50F-F1502004D003}"/>
              </a:ext>
            </a:extLst>
          </xdr:cNvPr>
          <xdr:cNvSpPr/>
        </xdr:nvSpPr>
        <xdr:spPr>
          <a:xfrm>
            <a:off x="9387840" y="1441043"/>
            <a:ext cx="2667000" cy="638355"/>
          </a:xfrm>
          <a:prstGeom prst="roundRect">
            <a:avLst/>
          </a:prstGeom>
          <a:solidFill>
            <a:srgbClr val="C0504D"/>
          </a:solidFill>
          <a:ln w="19050">
            <a:noFill/>
            <a:prstDash val="solid"/>
          </a:ln>
          <a:effectLst>
            <a:glow rad="88900">
              <a:srgbClr val="FF0000">
                <a:alpha val="40000"/>
              </a:srgbClr>
            </a:glow>
            <a:softEdge rad="12700"/>
          </a:effectLst>
          <a:scene3d>
            <a:camera prst="orthographicFront"/>
            <a:lightRig rig="threePt" dir="t"/>
          </a:scene3d>
          <a:sp3d extrusionH="12700" contourW="38100">
            <a:bevelT w="6350"/>
            <a:bevelB w="6350"/>
            <a:contourClr>
              <a:schemeClr val="accent2">
                <a:lumMod val="40000"/>
                <a:lumOff val="60000"/>
              </a:schemeClr>
            </a:contourClr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kumimoji="0" lang="en-AU" sz="10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  <a:p>
            <a:pPr algn="ctr"/>
            <a:r>
              <a:rPr kumimoji="0" lang="en-AU" sz="10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t>🗑 Delete Single Item</a:t>
            </a:r>
          </a:p>
        </xdr:txBody>
      </xdr:sp>
      <xdr:sp macro="[0]!DeleteCompleteCustomer" textlink="">
        <xdr:nvSpPr>
          <xdr:cNvPr id="7" name="btnDeleteCustomer">
            <a:extLst>
              <a:ext uri="{FF2B5EF4-FFF2-40B4-BE49-F238E27FC236}">
                <a16:creationId xmlns:a16="http://schemas.microsoft.com/office/drawing/2014/main" id="{31F9A0E5-13E2-46AF-86BC-2D535A7E0820}"/>
              </a:ext>
            </a:extLst>
          </xdr:cNvPr>
          <xdr:cNvSpPr/>
        </xdr:nvSpPr>
        <xdr:spPr>
          <a:xfrm>
            <a:off x="9387840" y="2249625"/>
            <a:ext cx="2667000" cy="638355"/>
          </a:xfrm>
          <a:prstGeom prst="roundRect">
            <a:avLst/>
          </a:prstGeom>
          <a:solidFill>
            <a:srgbClr val="943634"/>
          </a:solidFill>
          <a:ln w="19050">
            <a:noFill/>
            <a:prstDash val="solid"/>
          </a:ln>
          <a:effectLst>
            <a:glow rad="88900">
              <a:srgbClr val="FF0000">
                <a:alpha val="40000"/>
              </a:srgbClr>
            </a:glow>
            <a:softEdge rad="12700"/>
          </a:effectLst>
          <a:scene3d>
            <a:camera prst="orthographicFront"/>
            <a:lightRig rig="threePt" dir="t"/>
          </a:scene3d>
          <a:sp3d extrusionH="12700" contourW="38100">
            <a:bevelT w="6350"/>
            <a:bevelB w="6350"/>
            <a:contourClr>
              <a:schemeClr val="accent2">
                <a:lumMod val="40000"/>
                <a:lumOff val="60000"/>
              </a:schemeClr>
            </a:contourClr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kumimoji="0" lang="en-AU" sz="10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  <a:p>
            <a:pPr algn="ctr"/>
            <a:r>
              <a:rPr kumimoji="0" lang="en-AU" sz="10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t>🗑 Delete Complete Customer</a:t>
            </a:r>
          </a:p>
        </xdr:txBody>
      </xdr:sp>
    </xdr:grpSp>
    <xdr:clientData/>
  </xdr:twoCellAnchor>
  <xdr:twoCellAnchor>
    <xdr:from>
      <xdr:col>2</xdr:col>
      <xdr:colOff>731520</xdr:colOff>
      <xdr:row>26</xdr:row>
      <xdr:rowOff>160020</xdr:rowOff>
    </xdr:from>
    <xdr:to>
      <xdr:col>8</xdr:col>
      <xdr:colOff>53340</xdr:colOff>
      <xdr:row>28</xdr:row>
      <xdr:rowOff>167640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185217B0-03C3-7D18-1A30-F51CB332DEAB}"/>
            </a:ext>
          </a:extLst>
        </xdr:cNvPr>
        <xdr:cNvGrpSpPr/>
      </xdr:nvGrpSpPr>
      <xdr:grpSpPr>
        <a:xfrm>
          <a:off x="5135880" y="5356860"/>
          <a:ext cx="3825240" cy="373380"/>
          <a:chOff x="10393680" y="4533900"/>
          <a:chExt cx="3825240" cy="373380"/>
        </a:xfrm>
      </xdr:grpSpPr>
      <xdr:sp macro="[0]!SearchPreviousPage" textlink="">
        <xdr:nvSpPr>
          <xdr:cNvPr id="9" name="btnRefreshDashboard">
            <a:extLst>
              <a:ext uri="{FF2B5EF4-FFF2-40B4-BE49-F238E27FC236}">
                <a16:creationId xmlns:a16="http://schemas.microsoft.com/office/drawing/2014/main" id="{049CD5F4-B1BA-4740-9E16-7DA8965CAE2F}"/>
              </a:ext>
            </a:extLst>
          </xdr:cNvPr>
          <xdr:cNvSpPr/>
        </xdr:nvSpPr>
        <xdr:spPr>
          <a:xfrm>
            <a:off x="10393680" y="4549140"/>
            <a:ext cx="1866900" cy="358140"/>
          </a:xfrm>
          <a:prstGeom prst="roundRect">
            <a:avLst/>
          </a:prstGeom>
          <a:ln>
            <a:solidFill>
              <a:schemeClr val="accent4">
                <a:lumMod val="60000"/>
                <a:lumOff val="40000"/>
              </a:schemeClr>
            </a:solidFill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ctr"/>
            <a:r>
              <a:rPr kumimoji="0" lang="en-AU" sz="1400" b="1" i="0" u="none" strike="noStrike" kern="0" cap="small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t>Search Previous</a:t>
            </a:r>
          </a:p>
        </xdr:txBody>
      </xdr:sp>
      <xdr:sp macro="[0]!SearchNextPage" textlink="">
        <xdr:nvSpPr>
          <xdr:cNvPr id="10" name="btnRefreshDashboard">
            <a:extLst>
              <a:ext uri="{FF2B5EF4-FFF2-40B4-BE49-F238E27FC236}">
                <a16:creationId xmlns:a16="http://schemas.microsoft.com/office/drawing/2014/main" id="{57DAD52E-9B42-4BBB-9A14-E6AC5FABA3FE}"/>
              </a:ext>
            </a:extLst>
          </xdr:cNvPr>
          <xdr:cNvSpPr/>
        </xdr:nvSpPr>
        <xdr:spPr>
          <a:xfrm>
            <a:off x="12306300" y="4533900"/>
            <a:ext cx="1912620" cy="373380"/>
          </a:xfrm>
          <a:prstGeom prst="roundRect">
            <a:avLst/>
          </a:prstGeom>
          <a:ln>
            <a:solidFill>
              <a:schemeClr val="accent4">
                <a:lumMod val="60000"/>
                <a:lumOff val="40000"/>
              </a:schemeClr>
            </a:solidFill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ctr"/>
            <a:r>
              <a:rPr kumimoji="0" lang="en-AU" sz="1400" b="1" i="0" u="none" strike="noStrike" kern="0" cap="small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t>Search Next</a:t>
            </a:r>
          </a:p>
        </xdr:txBody>
      </xdr:sp>
    </xdr:grpSp>
    <xdr:clientData/>
  </xdr:twoCellAnchor>
  <xdr:twoCellAnchor>
    <xdr:from>
      <xdr:col>9</xdr:col>
      <xdr:colOff>220980</xdr:colOff>
      <xdr:row>1</xdr:row>
      <xdr:rowOff>144780</xdr:rowOff>
    </xdr:from>
    <xdr:to>
      <xdr:col>10</xdr:col>
      <xdr:colOff>1485900</xdr:colOff>
      <xdr:row>13</xdr:row>
      <xdr:rowOff>30480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2EEE0C5A-7D2C-4530-B6EC-3353093DE7AF}"/>
            </a:ext>
          </a:extLst>
        </xdr:cNvPr>
        <xdr:cNvGrpSpPr/>
      </xdr:nvGrpSpPr>
      <xdr:grpSpPr>
        <a:xfrm>
          <a:off x="9784080" y="411480"/>
          <a:ext cx="2095500" cy="2255520"/>
          <a:chOff x="9387840" y="632460"/>
          <a:chExt cx="2667000" cy="2255520"/>
        </a:xfrm>
      </xdr:grpSpPr>
      <xdr:sp macro="[0]!UpdateSelectedSearchItemStatus" textlink="">
        <xdr:nvSpPr>
          <xdr:cNvPr id="13" name="btnDeleteOrder">
            <a:extLst>
              <a:ext uri="{FF2B5EF4-FFF2-40B4-BE49-F238E27FC236}">
                <a16:creationId xmlns:a16="http://schemas.microsoft.com/office/drawing/2014/main" id="{203EC033-0B41-6AAD-09D6-27BD78BA37AD}"/>
              </a:ext>
            </a:extLst>
          </xdr:cNvPr>
          <xdr:cNvSpPr/>
        </xdr:nvSpPr>
        <xdr:spPr>
          <a:xfrm>
            <a:off x="9387840" y="632460"/>
            <a:ext cx="2667000" cy="638355"/>
          </a:xfrm>
          <a:prstGeom prst="roundRect">
            <a:avLst/>
          </a:prstGeom>
          <a:solidFill>
            <a:srgbClr val="C00000"/>
          </a:solidFill>
          <a:ln w="19050">
            <a:noFill/>
            <a:prstDash val="solid"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kumimoji="0" lang="en-AU" sz="10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  <a:p>
            <a:pPr algn="ctr"/>
            <a:r>
              <a:rPr kumimoji="0" lang="en-AU" sz="10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t>🗑 Update Selected Search Item Status</a:t>
            </a:r>
          </a:p>
        </xdr:txBody>
      </xdr:sp>
      <xdr:sp macro="[0]!UpdateSelectedSearchOrderStatus" textlink="">
        <xdr:nvSpPr>
          <xdr:cNvPr id="14" name="btnDeleteItem">
            <a:extLst>
              <a:ext uri="{FF2B5EF4-FFF2-40B4-BE49-F238E27FC236}">
                <a16:creationId xmlns:a16="http://schemas.microsoft.com/office/drawing/2014/main" id="{A3E672DC-457F-0BF8-4858-F1E4928A1351}"/>
              </a:ext>
            </a:extLst>
          </xdr:cNvPr>
          <xdr:cNvSpPr/>
        </xdr:nvSpPr>
        <xdr:spPr>
          <a:xfrm>
            <a:off x="9387840" y="1441043"/>
            <a:ext cx="2667000" cy="638355"/>
          </a:xfrm>
          <a:prstGeom prst="roundRect">
            <a:avLst/>
          </a:prstGeom>
          <a:solidFill>
            <a:srgbClr val="C0504D"/>
          </a:solidFill>
          <a:ln w="19050">
            <a:noFill/>
            <a:prstDash val="solid"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kumimoji="0" lang="en-AU" sz="10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  <a:p>
            <a:pPr algn="ctr"/>
            <a:r>
              <a:rPr kumimoji="0" lang="en-AU" sz="10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t>🗑 Update Selected Search Order Status</a:t>
            </a:r>
          </a:p>
        </xdr:txBody>
      </xdr:sp>
      <xdr:sp macro="[0]!SaveSearchStatusUpdates" textlink="">
        <xdr:nvSpPr>
          <xdr:cNvPr id="15" name="btnDeleteCustomer">
            <a:extLst>
              <a:ext uri="{FF2B5EF4-FFF2-40B4-BE49-F238E27FC236}">
                <a16:creationId xmlns:a16="http://schemas.microsoft.com/office/drawing/2014/main" id="{E5F3DAB2-60D3-91A9-AFF7-53F6F7BFFC63}"/>
              </a:ext>
            </a:extLst>
          </xdr:cNvPr>
          <xdr:cNvSpPr/>
        </xdr:nvSpPr>
        <xdr:spPr>
          <a:xfrm>
            <a:off x="9387840" y="2249625"/>
            <a:ext cx="2667000" cy="638355"/>
          </a:xfrm>
          <a:prstGeom prst="roundRect">
            <a:avLst/>
          </a:prstGeom>
          <a:solidFill>
            <a:srgbClr val="943634"/>
          </a:solidFill>
          <a:ln w="19050">
            <a:noFill/>
            <a:prstDash val="solid"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kumimoji="0" lang="en-AU" sz="10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  <a:p>
            <a:pPr algn="ctr"/>
            <a:r>
              <a:rPr kumimoji="0" lang="en-AU" sz="10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t>🗑 Save Search Status Updates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38100</xdr:colOff>
      <xdr:row>23</xdr:row>
      <xdr:rowOff>22860</xdr:rowOff>
    </xdr:from>
    <xdr:to>
      <xdr:col>18</xdr:col>
      <xdr:colOff>572160</xdr:colOff>
      <xdr:row>30</xdr:row>
      <xdr:rowOff>14221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53930809-12AF-D2CA-71FF-B1F64F37A410}"/>
            </a:ext>
          </a:extLst>
        </xdr:cNvPr>
        <xdr:cNvGrpSpPr/>
      </xdr:nvGrpSpPr>
      <xdr:grpSpPr>
        <a:xfrm>
          <a:off x="16466820" y="3589020"/>
          <a:ext cx="2340000" cy="1271521"/>
          <a:chOff x="16428720" y="3566160"/>
          <a:chExt cx="2340000" cy="1271521"/>
        </a:xfrm>
      </xdr:grpSpPr>
      <xdr:sp macro="[0]!PrefillMeasurementsFromHistory" textlink="">
        <xdr:nvSpPr>
          <xdr:cNvPr id="3" name="btnPrefillMeasurements">
            <a:extLst>
              <a:ext uri="{FF2B5EF4-FFF2-40B4-BE49-F238E27FC236}">
                <a16:creationId xmlns:a16="http://schemas.microsoft.com/office/drawing/2014/main" id="{38525CB0-CBA7-4019-9DEC-7D6171559639}"/>
              </a:ext>
            </a:extLst>
          </xdr:cNvPr>
          <xdr:cNvSpPr/>
        </xdr:nvSpPr>
        <xdr:spPr>
          <a:xfrm>
            <a:off x="16428720" y="3566160"/>
            <a:ext cx="2340000" cy="540001"/>
          </a:xfrm>
          <a:prstGeom prst="roundRect">
            <a:avLst/>
          </a:prstGeom>
          <a:solidFill>
            <a:srgbClr val="2E75B6"/>
          </a:solidFill>
          <a:ln w="19050">
            <a:noFill/>
            <a:prstDash val="solid"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54000" bIns="54000" rtlCol="0" anchor="ctr" anchorCtr="1">
            <a:noAutofit/>
          </a:bodyPr>
          <a:lstStyle/>
          <a:p>
            <a:pPr algn="ctr"/>
            <a:r>
              <a:rPr kumimoji="0" lang="en-AU" sz="11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t>📐 Prefill Measurements from History</a:t>
            </a:r>
          </a:p>
        </xdr:txBody>
      </xdr:sp>
      <xdr:sp macro="[0]!RefreshMeasurementRows_MeasurementCards" textlink="">
        <xdr:nvSpPr>
          <xdr:cNvPr id="4" name="btnRefreshMeasurement">
            <a:extLst>
              <a:ext uri="{FF2B5EF4-FFF2-40B4-BE49-F238E27FC236}">
                <a16:creationId xmlns:a16="http://schemas.microsoft.com/office/drawing/2014/main" id="{8EECFF01-9FD7-4455-BB80-A24A39DE265F}"/>
              </a:ext>
            </a:extLst>
          </xdr:cNvPr>
          <xdr:cNvSpPr/>
        </xdr:nvSpPr>
        <xdr:spPr>
          <a:xfrm>
            <a:off x="16428720" y="4297680"/>
            <a:ext cx="2340000" cy="540001"/>
          </a:xfrm>
          <a:prstGeom prst="roundRect">
            <a:avLst/>
          </a:prstGeom>
          <a:solidFill>
            <a:srgbClr val="2E75B6"/>
          </a:solidFill>
          <a:ln w="19050">
            <a:noFill/>
            <a:prstDash val="solid"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54000" bIns="54000" rtlCol="0" anchor="ctr" anchorCtr="1"/>
          <a:lstStyle/>
          <a:p>
            <a:pPr algn="ctr"/>
            <a:r>
              <a:rPr kumimoji="0" lang="en-AU" sz="11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t>📏 Refresh Measurement Rows</a:t>
            </a:r>
          </a:p>
        </xdr:txBody>
      </xdr:sp>
    </xdr:grpSp>
    <xdr:clientData/>
  </xdr:twoCellAnchor>
  <xdr:twoCellAnchor>
    <xdr:from>
      <xdr:col>6</xdr:col>
      <xdr:colOff>0</xdr:colOff>
      <xdr:row>1</xdr:row>
      <xdr:rowOff>76200</xdr:rowOff>
    </xdr:from>
    <xdr:to>
      <xdr:col>8</xdr:col>
      <xdr:colOff>642620</xdr:colOff>
      <xdr:row>18</xdr:row>
      <xdr:rowOff>137160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65181080-9DA0-9A0D-168C-3CE27D69436C}"/>
            </a:ext>
          </a:extLst>
        </xdr:cNvPr>
        <xdr:cNvGrpSpPr/>
      </xdr:nvGrpSpPr>
      <xdr:grpSpPr>
        <a:xfrm>
          <a:off x="7330440" y="350520"/>
          <a:ext cx="2562860" cy="2438400"/>
          <a:chOff x="7330440" y="457200"/>
          <a:chExt cx="2562860" cy="2438400"/>
        </a:xfrm>
      </xdr:grpSpPr>
      <xdr:sp macro="[0]!PrefillCustomerByMobile" textlink="">
        <xdr:nvSpPr>
          <xdr:cNvPr id="6" name="btnPrefillCustomer">
            <a:extLst>
              <a:ext uri="{FF2B5EF4-FFF2-40B4-BE49-F238E27FC236}">
                <a16:creationId xmlns:a16="http://schemas.microsoft.com/office/drawing/2014/main" id="{C9252C2C-9539-46DB-B6BB-FBC0B62B44E4}"/>
              </a:ext>
            </a:extLst>
          </xdr:cNvPr>
          <xdr:cNvSpPr/>
        </xdr:nvSpPr>
        <xdr:spPr>
          <a:xfrm>
            <a:off x="7353300" y="457200"/>
            <a:ext cx="2540000" cy="754554"/>
          </a:xfrm>
          <a:prstGeom prst="roundRect">
            <a:avLst/>
          </a:prstGeom>
          <a:solidFill>
            <a:srgbClr val="2E75B6"/>
          </a:solidFill>
          <a:ln w="19050">
            <a:noFill/>
            <a:prstDash val="solid"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  <a:p>
            <a:pPr algn="ctr"/>
            <a:r>
              <a:rPr kumimoji="0" lang="en-AU" sz="11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t>👤 Prefill Customer by Mobile</a:t>
            </a:r>
          </a:p>
        </xdr:txBody>
      </xdr:sp>
      <xdr:sp macro="[0]!SubmitOrderFromEntryForm" textlink="">
        <xdr:nvSpPr>
          <xdr:cNvPr id="7" name="btnSubmitOrder">
            <a:extLst>
              <a:ext uri="{FF2B5EF4-FFF2-40B4-BE49-F238E27FC236}">
                <a16:creationId xmlns:a16="http://schemas.microsoft.com/office/drawing/2014/main" id="{B1781FCF-A2D6-454D-B67E-7922A651B576}"/>
              </a:ext>
            </a:extLst>
          </xdr:cNvPr>
          <xdr:cNvSpPr/>
        </xdr:nvSpPr>
        <xdr:spPr>
          <a:xfrm>
            <a:off x="7353300" y="1360017"/>
            <a:ext cx="2540000" cy="725431"/>
          </a:xfrm>
          <a:prstGeom prst="roundRect">
            <a:avLst/>
          </a:prstGeom>
          <a:solidFill>
            <a:srgbClr val="1F9E89"/>
          </a:solidFill>
          <a:ln w="19050">
            <a:noFill/>
            <a:prstDash val="solid"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  <a:p>
            <a:pPr algn="ctr"/>
            <a:r>
              <a:rPr kumimoji="0" lang="en-AU" sz="11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t>✅ Submit Order</a:t>
            </a:r>
          </a:p>
        </xdr:txBody>
      </xdr:sp>
      <xdr:sp macro="[0]!ClearEntryForm" textlink="">
        <xdr:nvSpPr>
          <xdr:cNvPr id="8" name="btnClearForm">
            <a:extLst>
              <a:ext uri="{FF2B5EF4-FFF2-40B4-BE49-F238E27FC236}">
                <a16:creationId xmlns:a16="http://schemas.microsoft.com/office/drawing/2014/main" id="{5C88AF5B-EA2F-4E90-A48A-892DC1AF28C5}"/>
              </a:ext>
            </a:extLst>
          </xdr:cNvPr>
          <xdr:cNvSpPr/>
        </xdr:nvSpPr>
        <xdr:spPr>
          <a:xfrm>
            <a:off x="7330440" y="2204588"/>
            <a:ext cx="2540000" cy="691012"/>
          </a:xfrm>
          <a:prstGeom prst="roundRect">
            <a:avLst/>
          </a:prstGeom>
          <a:solidFill>
            <a:srgbClr val="7F7F7F"/>
          </a:solidFill>
          <a:ln w="19050">
            <a:noFill/>
            <a:prstDash val="solid"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  <a:p>
            <a:pPr algn="ctr"/>
            <a:r>
              <a:rPr kumimoji="0" lang="en-AU" sz="11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t>🧹 Clear Entry Form</a:t>
            </a:r>
          </a:p>
        </xdr:txBody>
      </xdr:sp>
    </xdr:grpSp>
    <xdr:clientData/>
  </xdr:twoCellAnchor>
  <xdr:twoCellAnchor>
    <xdr:from>
      <xdr:col>20</xdr:col>
      <xdr:colOff>22860</xdr:colOff>
      <xdr:row>1</xdr:row>
      <xdr:rowOff>106680</xdr:rowOff>
    </xdr:from>
    <xdr:to>
      <xdr:col>20</xdr:col>
      <xdr:colOff>563880</xdr:colOff>
      <xdr:row>3</xdr:row>
      <xdr:rowOff>28920</xdr:rowOff>
    </xdr:to>
    <xdr:sp macro="[0]!SetupEntryFormProtection" textlink="">
      <xdr:nvSpPr>
        <xdr:cNvPr id="2" name="btnRefreshDashboard">
          <a:extLst>
            <a:ext uri="{FF2B5EF4-FFF2-40B4-BE49-F238E27FC236}">
              <a16:creationId xmlns:a16="http://schemas.microsoft.com/office/drawing/2014/main" id="{C3AE962C-E367-4DED-9B36-912B986C742D}"/>
            </a:ext>
          </a:extLst>
        </xdr:cNvPr>
        <xdr:cNvSpPr/>
      </xdr:nvSpPr>
      <xdr:spPr>
        <a:xfrm>
          <a:off x="19461480" y="381000"/>
          <a:ext cx="541020" cy="288000"/>
        </a:xfrm>
        <a:prstGeom prst="roundRect">
          <a:avLst/>
        </a:prstGeom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kumimoji="0" lang="en-AU" sz="900" b="1" i="0" u="none" strike="noStrike" kern="0" cap="small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t>Setup</a:t>
          </a:r>
        </a:p>
      </xdr:txBody>
    </xdr:sp>
    <xdr:clientData/>
  </xdr:twoCellAnchor>
  <xdr:twoCellAnchor>
    <xdr:from>
      <xdr:col>20</xdr:col>
      <xdr:colOff>30480</xdr:colOff>
      <xdr:row>4</xdr:row>
      <xdr:rowOff>15240</xdr:rowOff>
    </xdr:from>
    <xdr:to>
      <xdr:col>20</xdr:col>
      <xdr:colOff>586740</xdr:colOff>
      <xdr:row>5</xdr:row>
      <xdr:rowOff>120360</xdr:rowOff>
    </xdr:to>
    <xdr:sp macro="[0]!UnlockEntryForm" textlink="">
      <xdr:nvSpPr>
        <xdr:cNvPr id="10" name="btnRefreshDashboard">
          <a:extLst>
            <a:ext uri="{FF2B5EF4-FFF2-40B4-BE49-F238E27FC236}">
              <a16:creationId xmlns:a16="http://schemas.microsoft.com/office/drawing/2014/main" id="{5DB78C65-B67A-475B-BF24-425D20D9026D}"/>
            </a:ext>
          </a:extLst>
        </xdr:cNvPr>
        <xdr:cNvSpPr/>
      </xdr:nvSpPr>
      <xdr:spPr>
        <a:xfrm>
          <a:off x="19469100" y="838200"/>
          <a:ext cx="556260" cy="288000"/>
        </a:xfrm>
        <a:prstGeom prst="roundRect">
          <a:avLst/>
        </a:prstGeom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kumimoji="0" lang="en-AU" sz="900" b="1" i="0" u="none" strike="noStrike" kern="0" cap="small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t>Unlock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220980</xdr:colOff>
      <xdr:row>1</xdr:row>
      <xdr:rowOff>45720</xdr:rowOff>
    </xdr:from>
    <xdr:to>
      <xdr:col>18</xdr:col>
      <xdr:colOff>485140</xdr:colOff>
      <xdr:row>5</xdr:row>
      <xdr:rowOff>121920</xdr:rowOff>
    </xdr:to>
    <xdr:sp macro="[0]!UpdateSelectedOrderRowStatus" textlink="">
      <xdr:nvSpPr>
        <xdr:cNvPr id="2" name="btnRefreshDashboard">
          <a:extLst>
            <a:ext uri="{FF2B5EF4-FFF2-40B4-BE49-F238E27FC236}">
              <a16:creationId xmlns:a16="http://schemas.microsoft.com/office/drawing/2014/main" id="{3C5612DD-1B44-45D7-A1F2-F6C2202E00D3}"/>
            </a:ext>
          </a:extLst>
        </xdr:cNvPr>
        <xdr:cNvSpPr/>
      </xdr:nvSpPr>
      <xdr:spPr>
        <a:xfrm>
          <a:off x="15735300" y="228600"/>
          <a:ext cx="3235960" cy="807720"/>
        </a:xfrm>
        <a:prstGeom prst="roundRect">
          <a:avLst/>
        </a:prstGeom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kumimoji="0" lang="en-AU" sz="1400" b="1" i="0" u="none" strike="noStrike" kern="0" cap="small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t>🔄 Update Selected Order Row Status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60960</xdr:colOff>
      <xdr:row>1</xdr:row>
      <xdr:rowOff>45720</xdr:rowOff>
    </xdr:from>
    <xdr:to>
      <xdr:col>18</xdr:col>
      <xdr:colOff>325120</xdr:colOff>
      <xdr:row>5</xdr:row>
      <xdr:rowOff>121920</xdr:rowOff>
    </xdr:to>
    <xdr:sp macro="[0]!UpdateSelectedOrderItemRowStatus" textlink="">
      <xdr:nvSpPr>
        <xdr:cNvPr id="2" name="btnRefreshDashboard">
          <a:extLst>
            <a:ext uri="{FF2B5EF4-FFF2-40B4-BE49-F238E27FC236}">
              <a16:creationId xmlns:a16="http://schemas.microsoft.com/office/drawing/2014/main" id="{52E5A753-BD07-45E2-9480-C466F1B9C250}"/>
            </a:ext>
          </a:extLst>
        </xdr:cNvPr>
        <xdr:cNvSpPr/>
      </xdr:nvSpPr>
      <xdr:spPr>
        <a:xfrm>
          <a:off x="17754600" y="228600"/>
          <a:ext cx="3235960" cy="807720"/>
        </a:xfrm>
        <a:prstGeom prst="roundRect">
          <a:avLst/>
        </a:prstGeom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kumimoji="0" lang="en-AU" sz="1400" b="1" i="0" u="none" strike="noStrike" kern="0" cap="small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t>🔄 Update Selected Order Item Row Status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45720</xdr:colOff>
      <xdr:row>1</xdr:row>
      <xdr:rowOff>91440</xdr:rowOff>
    </xdr:from>
    <xdr:to>
      <xdr:col>9</xdr:col>
      <xdr:colOff>350520</xdr:colOff>
      <xdr:row>4</xdr:row>
      <xdr:rowOff>175260</xdr:rowOff>
    </xdr:to>
    <xdr:sp macro="[0]!SyncListsToConfig" textlink="">
      <xdr:nvSpPr>
        <xdr:cNvPr id="2" name="btnRefreshDashboard">
          <a:extLst>
            <a:ext uri="{FF2B5EF4-FFF2-40B4-BE49-F238E27FC236}">
              <a16:creationId xmlns:a16="http://schemas.microsoft.com/office/drawing/2014/main" id="{656B2B0F-8729-4482-B4EF-D35DCBADC877}"/>
            </a:ext>
          </a:extLst>
        </xdr:cNvPr>
        <xdr:cNvSpPr/>
      </xdr:nvSpPr>
      <xdr:spPr>
        <a:xfrm>
          <a:off x="11338560" y="274320"/>
          <a:ext cx="2087880" cy="632460"/>
        </a:xfrm>
        <a:prstGeom prst="roundRect">
          <a:avLst/>
        </a:prstGeom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kumimoji="0" lang="en-AU" sz="1400" b="1" i="0" u="none" strike="noStrike" kern="0" cap="small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t>🔄 Sync Lists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ustomersTable" displayName="CustomersTable" ref="A1:G5" totalsRowShown="0">
  <tableColumns count="7">
    <tableColumn id="1" xr3:uid="{00000000-0010-0000-0000-000001000000}" name="Customer ID"/>
    <tableColumn id="2" xr3:uid="{00000000-0010-0000-0000-000002000000}" name="Mobile"/>
    <tableColumn id="3" xr3:uid="{00000000-0010-0000-0000-000003000000}" name="Customer Name"/>
    <tableColumn id="4" xr3:uid="{00000000-0010-0000-0000-000004000000}" name="Address"/>
    <tableColumn id="5" xr3:uid="{00000000-0010-0000-0000-000005000000}" name="Email"/>
    <tableColumn id="6" xr3:uid="{00000000-0010-0000-0000-000006000000}" name="Last Updated"/>
    <tableColumn id="7" xr3:uid="{00000000-0010-0000-0000-000007000000}" name="Notes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OrdersTable" displayName="OrdersTable" ref="A1:M6" totalsRowShown="0">
  <tableColumns count="13">
    <tableColumn id="1" xr3:uid="{00000000-0010-0000-0100-000001000000}" name="Order ID"/>
    <tableColumn id="2" xr3:uid="{00000000-0010-0000-0100-000002000000}" name="Order Date"/>
    <tableColumn id="3" xr3:uid="{00000000-0010-0000-0100-000003000000}" name="Customer ID"/>
    <tableColumn id="4" xr3:uid="{00000000-0010-0000-0100-000004000000}" name="Mobile"/>
    <tableColumn id="5" xr3:uid="{00000000-0010-0000-0100-000005000000}" name="Customer Name"/>
    <tableColumn id="6" xr3:uid="{00000000-0010-0000-0100-000006000000}" name="Taken By"/>
    <tableColumn id="7" xr3:uid="{00000000-0010-0000-0100-000007000000}" name="Total Amount"/>
    <tableColumn id="8" xr3:uid="{00000000-0010-0000-0100-000008000000}" name="Amount Paid"/>
    <tableColumn id="9" xr3:uid="{00000000-0010-0000-0100-000009000000}" name="Balance"/>
    <tableColumn id="10" xr3:uid="{00000000-0010-0000-0100-00000A000000}" name="Payment Status"/>
    <tableColumn id="11" xr3:uid="{00000000-0010-0000-0100-00000B000000}" name="Order Status"/>
    <tableColumn id="12" xr3:uid="{00000000-0010-0000-0100-00000C000000}" name="Notes"/>
    <tableColumn id="13" xr3:uid="{00000000-0010-0000-0100-00000D000000}" name="Created At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OrderItemsTable" displayName="OrderItemsTable" ref="A1:M7" totalsRowShown="0">
  <tableColumns count="13">
    <tableColumn id="1" xr3:uid="{00000000-0010-0000-0200-000001000000}" name="Order ID"/>
    <tableColumn id="2" xr3:uid="{00000000-0010-0000-0200-000002000000}" name="Item ID"/>
    <tableColumn id="3" xr3:uid="{00000000-0010-0000-0200-000003000000}" name="Item Type"/>
    <tableColumn id="4" xr3:uid="{00000000-0010-0000-0200-000004000000}" name="Qty"/>
    <tableColumn id="5" xr3:uid="{00000000-0010-0000-0200-000005000000}" name="Fit Type"/>
    <tableColumn id="6" xr3:uid="{00000000-0010-0000-0200-000006000000}" name="Priority"/>
    <tableColumn id="7" xr3:uid="{00000000-0010-0000-0200-000007000000}" name="Status"/>
    <tableColumn id="8" xr3:uid="{00000000-0010-0000-0200-000008000000}" name="Try Date" dataDxfId="5"/>
    <tableColumn id="9" xr3:uid="{00000000-0010-0000-0200-000009000000}" name="Delivery Date" dataDxfId="4"/>
    <tableColumn id="10" xr3:uid="{00000000-0010-0000-0200-00000A000000}" name="Rate"/>
    <tableColumn id="11" xr3:uid="{00000000-0010-0000-0200-00000B000000}" name="Amount"/>
    <tableColumn id="12" xr3:uid="{00000000-0010-0000-0200-00000C000000}" name="Staff"/>
    <tableColumn id="13" xr3:uid="{00000000-0010-0000-0200-00000D000000}" name="Item Notes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MeasurementsTable" displayName="MeasurementsTable" ref="A1:R7" totalsRowShown="0">
  <tableColumns count="18">
    <tableColumn id="1" xr3:uid="{00000000-0010-0000-0300-000001000000}" name="Order ID"/>
    <tableColumn id="2" xr3:uid="{00000000-0010-0000-0300-000002000000}" name="Item ID"/>
    <tableColumn id="3" xr3:uid="{00000000-0010-0000-0300-000003000000}" name="Measurement Date"/>
    <tableColumn id="4" xr3:uid="{00000000-0010-0000-0300-000004000000}" name="Length"/>
    <tableColumn id="5" xr3:uid="{00000000-0010-0000-0300-000005000000}" name="Chest"/>
    <tableColumn id="6" xr3:uid="{00000000-0010-0000-0300-000006000000}" name="Shoulder"/>
    <tableColumn id="7" xr3:uid="{00000000-0010-0000-0300-000007000000}" name="Sleeve"/>
    <tableColumn id="8" xr3:uid="{00000000-0010-0000-0300-000008000000}" name="Bicep"/>
    <tableColumn id="9" xr3:uid="{00000000-0010-0000-0300-000009000000}" name="Elbow"/>
    <tableColumn id="10" xr3:uid="{00000000-0010-0000-0300-00000A000000}" name="Collar"/>
    <tableColumn id="11" xr3:uid="{00000000-0010-0000-0300-00000B000000}" name="Waist"/>
    <tableColumn id="12" xr3:uid="{00000000-0010-0000-0300-00000C000000}" name="Hips"/>
    <tableColumn id="13" xr3:uid="{00000000-0010-0000-0300-00000D000000}" name="Inseam"/>
    <tableColumn id="14" xr3:uid="{00000000-0010-0000-0300-00000E000000}" name="Outseam"/>
    <tableColumn id="15" xr3:uid="{00000000-0010-0000-0300-00000F000000}" name="Thigh"/>
    <tableColumn id="16" xr3:uid="{00000000-0010-0000-0300-000010000000}" name="Knee"/>
    <tableColumn id="17" xr3:uid="{00000000-0010-0000-0300-000011000000}" name="Bottom"/>
    <tableColumn id="18" xr3:uid="{00000000-0010-0000-0300-000012000000}" name="Back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prstDash val="solid"/>
        </a:ln>
        <a:ln w="19050">
          <a:prstDash val="solid"/>
        </a:ln>
        <a:ln w="25400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BFCF486-F477-4894-8471-80A4F6E45557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be4fa0d6-150e-4ef8-bd37-6a19fa064452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40"/>
  <sheetViews>
    <sheetView zoomScaleNormal="100" workbookViewId="0">
      <pane ySplit="1" topLeftCell="A2" activePane="bottomLeft" state="frozen"/>
      <selection pane="bottomLeft" sqref="A1:M1"/>
    </sheetView>
  </sheetViews>
  <sheetFormatPr defaultColWidth="8.6640625" defaultRowHeight="14.4" x14ac:dyDescent="0.3"/>
  <cols>
    <col min="1" max="1" width="11.5546875" customWidth="1"/>
    <col min="2" max="2" width="18.6640625" customWidth="1"/>
    <col min="3" max="3" width="13.44140625" customWidth="1"/>
    <col min="4" max="4" width="13.21875" customWidth="1"/>
    <col min="5" max="5" width="14.33203125" customWidth="1"/>
    <col min="6" max="6" width="4" customWidth="1"/>
    <col min="7" max="7" width="8" customWidth="1"/>
    <col min="8" max="8" width="21.6640625" customWidth="1"/>
    <col min="9" max="9" width="16.33203125" customWidth="1"/>
    <col min="10" max="10" width="15.21875" customWidth="1"/>
    <col min="11" max="11" width="25.6640625" customWidth="1"/>
    <col min="12" max="12" width="14.109375" customWidth="1"/>
    <col min="13" max="13" width="19.21875" customWidth="1"/>
  </cols>
  <sheetData>
    <row r="1" spans="1:13" ht="21" customHeight="1" x14ac:dyDescent="0.4">
      <c r="A1" s="67" t="s">
        <v>0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</row>
    <row r="3" spans="1:13" ht="43.5" customHeight="1" x14ac:dyDescent="0.3">
      <c r="A3" s="68">
        <f ca="1">COUNTIF(Orders!B:B,TODAY())</f>
        <v>1</v>
      </c>
      <c r="B3" s="68"/>
      <c r="C3" s="68"/>
      <c r="D3" s="69">
        <f ca="1">COUNTIF(Order_Items!H:H,TODAY())</f>
        <v>0</v>
      </c>
      <c r="E3" s="69"/>
      <c r="F3" s="69"/>
      <c r="G3" s="70">
        <f ca="1">COUNTIF(Order_Items!I:I,TODAY())</f>
        <v>0</v>
      </c>
      <c r="H3" s="70"/>
      <c r="I3" s="70"/>
      <c r="J3" s="71">
        <f>COUNTIF(Order_Items!G:G,"Ready")</f>
        <v>1</v>
      </c>
      <c r="K3" s="71"/>
      <c r="L3" s="71"/>
    </row>
    <row r="4" spans="1:13" ht="21.75" customHeight="1" x14ac:dyDescent="0.3">
      <c r="A4" s="72" t="s">
        <v>1</v>
      </c>
      <c r="B4" s="72"/>
      <c r="C4" s="72"/>
      <c r="D4" s="73" t="s">
        <v>2</v>
      </c>
      <c r="E4" s="73"/>
      <c r="F4" s="73"/>
      <c r="G4" s="74" t="s">
        <v>3</v>
      </c>
      <c r="H4" s="74"/>
      <c r="I4" s="74"/>
      <c r="J4" s="75" t="s">
        <v>4</v>
      </c>
      <c r="K4" s="75"/>
      <c r="L4" s="75"/>
    </row>
    <row r="5" spans="1:13" ht="6" customHeight="1" x14ac:dyDescent="0.3"/>
    <row r="6" spans="1:13" ht="43.5" customHeight="1" x14ac:dyDescent="0.3">
      <c r="A6" s="76">
        <f>COUNTIF(Order_Items!F:F,"Urgent")</f>
        <v>2</v>
      </c>
      <c r="B6" s="76"/>
      <c r="C6" s="76"/>
      <c r="D6" s="77">
        <f>COUNTIF(Order_Items!F:F,"Wedding/VIP")</f>
        <v>2</v>
      </c>
      <c r="E6" s="77"/>
      <c r="F6" s="77"/>
      <c r="G6" s="78">
        <f>COUNTA(Orders!A:A)-1-COUNTIF(Orders!K:K,"Delivered")-COUNTIF(Orders!K:K,"Cancelled")</f>
        <v>5</v>
      </c>
      <c r="H6" s="78"/>
      <c r="I6" s="78"/>
    </row>
    <row r="7" spans="1:13" ht="21.75" customHeight="1" x14ac:dyDescent="0.3">
      <c r="A7" s="79" t="s">
        <v>5</v>
      </c>
      <c r="B7" s="79"/>
      <c r="C7" s="79"/>
      <c r="D7" s="80" t="s">
        <v>6</v>
      </c>
      <c r="E7" s="80"/>
      <c r="F7" s="80"/>
      <c r="G7" s="81" t="s">
        <v>7</v>
      </c>
      <c r="H7" s="81"/>
      <c r="I7" s="81"/>
    </row>
    <row r="8" spans="1:13" ht="6" customHeight="1" x14ac:dyDescent="0.3"/>
    <row r="9" spans="1:13" x14ac:dyDescent="0.3">
      <c r="A9" s="82" t="s">
        <v>8</v>
      </c>
      <c r="B9" s="82"/>
      <c r="C9" s="82"/>
      <c r="D9" s="82"/>
      <c r="E9" s="82"/>
      <c r="F9" s="82"/>
      <c r="G9" s="82"/>
      <c r="H9" s="82"/>
      <c r="I9" s="82"/>
      <c r="J9" s="82"/>
      <c r="K9" t="str">
        <f ca="1">"Dashboard date: "&amp;TEXT(TODAY(),"dd-mmm-yyyy")</f>
        <v>Dashboard date: 31-May-2026</v>
      </c>
      <c r="L9" s="1"/>
      <c r="M9" s="1"/>
    </row>
    <row r="10" spans="1:13" x14ac:dyDescent="0.3">
      <c r="A10" s="47" t="s">
        <v>9</v>
      </c>
      <c r="B10" s="47" t="s">
        <v>10</v>
      </c>
      <c r="C10" s="47" t="s">
        <v>11</v>
      </c>
      <c r="D10" s="47" t="s">
        <v>12</v>
      </c>
      <c r="E10" s="47" t="s">
        <v>13</v>
      </c>
      <c r="F10" s="47" t="s">
        <v>14</v>
      </c>
      <c r="G10" s="47" t="s">
        <v>15</v>
      </c>
      <c r="H10" s="47" t="s">
        <v>16</v>
      </c>
      <c r="I10" s="47" t="s">
        <v>17</v>
      </c>
      <c r="J10" s="47" t="s">
        <v>18</v>
      </c>
      <c r="K10" s="47" t="s">
        <v>19</v>
      </c>
      <c r="L10" s="47" t="s">
        <v>20</v>
      </c>
      <c r="M10" s="47" t="s">
        <v>21</v>
      </c>
    </row>
    <row r="11" spans="1:13" s="5" customFormat="1" x14ac:dyDescent="0.3">
      <c r="A11" s="2" t="s">
        <v>36</v>
      </c>
      <c r="B11" s="2" t="s">
        <v>37</v>
      </c>
      <c r="C11" s="2">
        <v>9922446688</v>
      </c>
      <c r="D11" s="2" t="s">
        <v>38</v>
      </c>
      <c r="E11" s="2" t="s">
        <v>32</v>
      </c>
      <c r="F11" s="2">
        <v>1</v>
      </c>
      <c r="G11" s="2" t="s">
        <v>26</v>
      </c>
      <c r="H11" s="3" t="s">
        <v>39</v>
      </c>
      <c r="I11" s="3" t="s">
        <v>51</v>
      </c>
      <c r="J11" s="4">
        <v>46172</v>
      </c>
      <c r="K11" s="4">
        <v>46175</v>
      </c>
      <c r="L11" s="2" t="s">
        <v>29</v>
      </c>
      <c r="M11" s="46" t="s">
        <v>41</v>
      </c>
    </row>
    <row r="12" spans="1:13" s="5" customFormat="1" x14ac:dyDescent="0.3">
      <c r="A12" s="2" t="s">
        <v>187</v>
      </c>
      <c r="B12" s="2" t="s">
        <v>182</v>
      </c>
      <c r="C12" s="2">
        <v>8765432109</v>
      </c>
      <c r="D12" s="2" t="s">
        <v>188</v>
      </c>
      <c r="E12" s="2" t="s">
        <v>143</v>
      </c>
      <c r="F12" s="2">
        <v>2</v>
      </c>
      <c r="G12" s="2" t="s">
        <v>125</v>
      </c>
      <c r="H12" s="3" t="s">
        <v>39</v>
      </c>
      <c r="I12" s="3" t="s">
        <v>40</v>
      </c>
      <c r="J12" s="4">
        <v>46175</v>
      </c>
      <c r="K12" s="4">
        <v>46181</v>
      </c>
      <c r="L12" s="2" t="s">
        <v>29</v>
      </c>
      <c r="M12" s="46" t="s">
        <v>186</v>
      </c>
    </row>
    <row r="13" spans="1:13" s="5" customFormat="1" x14ac:dyDescent="0.3">
      <c r="J13" s="6"/>
      <c r="K13" s="6"/>
    </row>
    <row r="14" spans="1:13" s="5" customFormat="1" x14ac:dyDescent="0.3">
      <c r="J14" s="6"/>
      <c r="K14" s="6"/>
    </row>
    <row r="15" spans="1:13" s="5" customFormat="1" x14ac:dyDescent="0.3">
      <c r="J15" s="6"/>
      <c r="K15" s="6"/>
    </row>
    <row r="16" spans="1:13" s="5" customFormat="1" x14ac:dyDescent="0.3">
      <c r="J16" s="6"/>
      <c r="K16" s="6"/>
    </row>
    <row r="17" spans="1:13" s="5" customFormat="1" x14ac:dyDescent="0.3">
      <c r="J17" s="6"/>
      <c r="K17" s="6"/>
    </row>
    <row r="18" spans="1:13" s="5" customFormat="1" x14ac:dyDescent="0.3">
      <c r="J18" s="6"/>
      <c r="K18" s="6"/>
    </row>
    <row r="19" spans="1:13" s="5" customFormat="1" x14ac:dyDescent="0.3">
      <c r="J19" s="6"/>
      <c r="K19" s="6"/>
    </row>
    <row r="20" spans="1:13" s="5" customFormat="1" x14ac:dyDescent="0.3">
      <c r="J20" s="6"/>
      <c r="K20" s="6"/>
    </row>
    <row r="21" spans="1:13" s="5" customFormat="1" x14ac:dyDescent="0.3">
      <c r="J21" s="6"/>
      <c r="K21" s="6"/>
    </row>
    <row r="22" spans="1:13" s="5" customFormat="1" x14ac:dyDescent="0.3">
      <c r="J22" s="6"/>
      <c r="K22" s="6"/>
    </row>
    <row r="23" spans="1:13" s="5" customFormat="1" x14ac:dyDescent="0.3">
      <c r="J23" s="6"/>
      <c r="K23" s="6"/>
    </row>
    <row r="24" spans="1:13" s="5" customFormat="1" x14ac:dyDescent="0.3">
      <c r="J24" s="6"/>
      <c r="K24" s="6"/>
    </row>
    <row r="25" spans="1:13" s="5" customFormat="1" x14ac:dyDescent="0.3">
      <c r="J25" s="6"/>
      <c r="K25" s="6"/>
    </row>
    <row r="26" spans="1:13" s="5" customFormat="1" x14ac:dyDescent="0.3">
      <c r="J26" s="6"/>
      <c r="K26" s="6"/>
    </row>
    <row r="27" spans="1:13" s="5" customFormat="1" x14ac:dyDescent="0.3">
      <c r="J27" s="6"/>
      <c r="K27" s="6"/>
    </row>
    <row r="28" spans="1:13" s="5" customFormat="1" x14ac:dyDescent="0.3">
      <c r="J28" s="6"/>
      <c r="K28" s="6"/>
    </row>
    <row r="30" spans="1:13" ht="17.25" customHeight="1" x14ac:dyDescent="0.35">
      <c r="A30" s="83" t="s">
        <v>42</v>
      </c>
      <c r="B30" s="83"/>
      <c r="C30" s="83"/>
      <c r="D30" s="83"/>
      <c r="E30" s="83"/>
      <c r="F30" s="83"/>
      <c r="G30" s="83"/>
      <c r="H30" s="83"/>
      <c r="I30" s="83"/>
      <c r="J30" s="83"/>
      <c r="K30" s="83"/>
      <c r="L30" s="83"/>
      <c r="M30" s="83"/>
    </row>
    <row r="32" spans="1:13" x14ac:dyDescent="0.3">
      <c r="A32" s="7" t="s">
        <v>17</v>
      </c>
      <c r="B32" s="7" t="s">
        <v>43</v>
      </c>
      <c r="D32" s="7" t="s">
        <v>16</v>
      </c>
      <c r="E32" s="8" t="s">
        <v>43</v>
      </c>
      <c r="H32" s="9" t="s">
        <v>44</v>
      </c>
      <c r="I32" s="7" t="s">
        <v>45</v>
      </c>
      <c r="K32" s="9" t="s">
        <v>46</v>
      </c>
      <c r="L32" s="7" t="s">
        <v>45</v>
      </c>
    </row>
    <row r="33" spans="1:12" x14ac:dyDescent="0.3">
      <c r="A33" t="s">
        <v>40</v>
      </c>
      <c r="B33">
        <f>COUNTIF(Order_Items!$G:$G,A33)</f>
        <v>1</v>
      </c>
      <c r="D33" t="s">
        <v>47</v>
      </c>
      <c r="E33">
        <f>COUNTIF(Order_Items!$F:$F,D33)</f>
        <v>2</v>
      </c>
      <c r="H33" s="10">
        <f ca="1">TODAY()</f>
        <v>46173</v>
      </c>
      <c r="I33">
        <f ca="1">COUNTIF(Order_Items!$H:$H,H33)</f>
        <v>0</v>
      </c>
      <c r="K33" s="10">
        <f ca="1">TODAY()</f>
        <v>46173</v>
      </c>
      <c r="L33">
        <f ca="1">COUNTIF(Order_Items!$I:$I,K33)</f>
        <v>0</v>
      </c>
    </row>
    <row r="34" spans="1:12" x14ac:dyDescent="0.3">
      <c r="A34" t="s">
        <v>48</v>
      </c>
      <c r="B34">
        <f>COUNTIF(Order_Items!$G:$G,A34)</f>
        <v>0</v>
      </c>
      <c r="D34" t="s">
        <v>27</v>
      </c>
      <c r="E34">
        <f>COUNTIF(Order_Items!$F:$F,D34)</f>
        <v>2</v>
      </c>
      <c r="H34" s="10">
        <f t="shared" ref="H34:H39" ca="1" si="0">H33+1</f>
        <v>46174</v>
      </c>
      <c r="I34">
        <f ca="1">COUNTIF(Order_Items!$H:$H,H34)</f>
        <v>0</v>
      </c>
      <c r="K34" s="10">
        <f t="shared" ref="K34:K39" ca="1" si="1">K33+1</f>
        <v>46174</v>
      </c>
      <c r="L34">
        <f ca="1">COUNTIF(Order_Items!$I:$I,K34)</f>
        <v>0</v>
      </c>
    </row>
    <row r="35" spans="1:12" x14ac:dyDescent="0.3">
      <c r="A35" t="s">
        <v>28</v>
      </c>
      <c r="B35">
        <f>COUNTIF(Order_Items!$G:$G,A35)</f>
        <v>2</v>
      </c>
      <c r="D35" t="s">
        <v>39</v>
      </c>
      <c r="E35">
        <f>COUNTIF(Order_Items!$F:$F,D35)</f>
        <v>2</v>
      </c>
      <c r="H35" s="10">
        <f t="shared" ca="1" si="0"/>
        <v>46175</v>
      </c>
      <c r="I35">
        <f ca="1">COUNTIF(Order_Items!$H:$H,H35)</f>
        <v>1</v>
      </c>
      <c r="K35" s="10">
        <f t="shared" ca="1" si="1"/>
        <v>46175</v>
      </c>
      <c r="L35">
        <f ca="1">COUNTIF(Order_Items!$I:$I,K35)</f>
        <v>1</v>
      </c>
    </row>
    <row r="36" spans="1:12" x14ac:dyDescent="0.3">
      <c r="A36" t="s">
        <v>49</v>
      </c>
      <c r="B36">
        <f>COUNTIF(Order_Items!$G:$G,A36)</f>
        <v>0</v>
      </c>
      <c r="H36" s="10">
        <f t="shared" ca="1" si="0"/>
        <v>46176</v>
      </c>
      <c r="I36">
        <f ca="1">COUNTIF(Order_Items!$H:$H,H36)</f>
        <v>0</v>
      </c>
      <c r="K36" s="10">
        <f t="shared" ca="1" si="1"/>
        <v>46176</v>
      </c>
      <c r="L36">
        <f ca="1">COUNTIF(Order_Items!$I:$I,K36)</f>
        <v>0</v>
      </c>
    </row>
    <row r="37" spans="1:12" x14ac:dyDescent="0.3">
      <c r="A37" t="s">
        <v>50</v>
      </c>
      <c r="B37">
        <f>COUNTIF(Order_Items!$G:$G,A37)</f>
        <v>0</v>
      </c>
      <c r="H37" s="10">
        <f t="shared" ca="1" si="0"/>
        <v>46177</v>
      </c>
      <c r="I37">
        <f ca="1">COUNTIF(Order_Items!$H:$H,H37)</f>
        <v>0</v>
      </c>
      <c r="K37" s="10">
        <f t="shared" ca="1" si="1"/>
        <v>46177</v>
      </c>
      <c r="L37">
        <f ca="1">COUNTIF(Order_Items!$I:$I,K37)</f>
        <v>0</v>
      </c>
    </row>
    <row r="38" spans="1:12" x14ac:dyDescent="0.3">
      <c r="A38" t="s">
        <v>51</v>
      </c>
      <c r="B38">
        <f>COUNTIF(Order_Items!$G:$G,A38)</f>
        <v>1</v>
      </c>
      <c r="H38" s="10">
        <f t="shared" ca="1" si="0"/>
        <v>46178</v>
      </c>
      <c r="I38">
        <f ca="1">COUNTIF(Order_Items!$H:$H,H38)</f>
        <v>0</v>
      </c>
      <c r="K38" s="10">
        <f t="shared" ca="1" si="1"/>
        <v>46178</v>
      </c>
      <c r="L38">
        <f ca="1">COUNTIF(Order_Items!$I:$I,K38)</f>
        <v>0</v>
      </c>
    </row>
    <row r="39" spans="1:12" x14ac:dyDescent="0.3">
      <c r="A39" t="s">
        <v>52</v>
      </c>
      <c r="B39">
        <f>COUNTIF(Order_Items!$G:$G,A39)</f>
        <v>2</v>
      </c>
      <c r="H39" s="10">
        <f t="shared" ca="1" si="0"/>
        <v>46179</v>
      </c>
      <c r="I39">
        <f ca="1">COUNTIF(Order_Items!$H:$H,H39)</f>
        <v>0</v>
      </c>
      <c r="K39" s="10">
        <f t="shared" ca="1" si="1"/>
        <v>46179</v>
      </c>
      <c r="L39">
        <f ca="1">COUNTIF(Order_Items!$I:$I,K39)</f>
        <v>0</v>
      </c>
    </row>
    <row r="40" spans="1:12" x14ac:dyDescent="0.3">
      <c r="A40" t="s">
        <v>53</v>
      </c>
      <c r="B40">
        <f>COUNTIF(Order_Items!$G:$G,A40)</f>
        <v>0</v>
      </c>
    </row>
  </sheetData>
  <mergeCells count="17">
    <mergeCell ref="A7:C7"/>
    <mergeCell ref="D7:F7"/>
    <mergeCell ref="G7:I7"/>
    <mergeCell ref="A9:J9"/>
    <mergeCell ref="A30:M30"/>
    <mergeCell ref="A4:C4"/>
    <mergeCell ref="D4:F4"/>
    <mergeCell ref="G4:I4"/>
    <mergeCell ref="J4:L4"/>
    <mergeCell ref="A6:C6"/>
    <mergeCell ref="D6:F6"/>
    <mergeCell ref="G6:I6"/>
    <mergeCell ref="A1:M1"/>
    <mergeCell ref="A3:C3"/>
    <mergeCell ref="D3:F3"/>
    <mergeCell ref="G3:I3"/>
    <mergeCell ref="J3:L3"/>
  </mergeCells>
  <conditionalFormatting sqref="A11:M21">
    <cfRule type="expression" dxfId="9" priority="3">
      <formula>$H11="Wedding/VIP"</formula>
    </cfRule>
    <cfRule type="expression" dxfId="8" priority="4">
      <formula>$H11="Urgent"</formula>
    </cfRule>
    <cfRule type="expression" dxfId="7" priority="5">
      <formula>$I11="Ready"</formula>
    </cfRule>
  </conditionalFormatting>
  <conditionalFormatting sqref="B33:B40">
    <cfRule type="dataBar" priority="7">
      <dataBar>
        <cfvo type="min"/>
        <cfvo type="max"/>
        <color rgb="FF2E75B6"/>
      </dataBar>
      <extLst>
        <ext xmlns:x14="http://schemas.microsoft.com/office/spreadsheetml/2009/9/main" uri="{B025F937-C7B1-47D3-B67F-A62EFF666E3E}">
          <x14:id>{D71F6566-507D-402A-8FA9-A797BCD18C4D}</x14:id>
        </ext>
      </extLst>
    </cfRule>
  </conditionalFormatting>
  <conditionalFormatting sqref="E33:E35">
    <cfRule type="dataBar" priority="8">
      <dataBar>
        <cfvo type="min"/>
        <cfvo type="max"/>
        <color rgb="FFC55A11"/>
      </dataBar>
      <extLst>
        <ext xmlns:x14="http://schemas.microsoft.com/office/spreadsheetml/2009/9/main" uri="{B025F937-C7B1-47D3-B67F-A62EFF666E3E}">
          <x14:id>{DAE460D3-C268-4E51-9A34-CABF716F474E}</x14:id>
        </ext>
      </extLst>
    </cfRule>
  </conditionalFormatting>
  <conditionalFormatting sqref="I33:I39">
    <cfRule type="dataBar" priority="2">
      <dataBar>
        <cfvo type="min"/>
        <cfvo type="max"/>
        <color rgb="FF1F9E89"/>
      </dataBar>
      <extLst>
        <ext xmlns:x14="http://schemas.microsoft.com/office/spreadsheetml/2009/9/main" uri="{B025F937-C7B1-47D3-B67F-A62EFF666E3E}">
          <x14:id>{13247F5E-C088-45BA-A7F7-38E6456C2712}</x14:id>
        </ext>
      </extLst>
    </cfRule>
  </conditionalFormatting>
  <conditionalFormatting sqref="K11:K21">
    <cfRule type="expression" dxfId="6" priority="6">
      <formula>AND($K11&lt;&gt;"",$K11&lt;TODAY(),$I11&lt;&gt;"Delivered")</formula>
    </cfRule>
  </conditionalFormatting>
  <conditionalFormatting sqref="L33:L39">
    <cfRule type="dataBar" priority="9">
      <dataBar>
        <cfvo type="min"/>
        <cfvo type="max"/>
        <color rgb="FF1F9E89"/>
      </dataBar>
      <extLst>
        <ext xmlns:x14="http://schemas.microsoft.com/office/spreadsheetml/2009/9/main" uri="{B025F937-C7B1-47D3-B67F-A62EFF666E3E}">
          <x14:id>{E0914868-2590-4C80-9132-E82CFF47575E}</x14:id>
        </ext>
      </extLst>
    </cfRule>
  </conditionalFormatting>
  <pageMargins left="0.7" right="0.7" top="0.75" bottom="0.75" header="0.511811023622047" footer="0.511811023622047"/>
  <pageSetup orientation="portrait" horizontalDpi="300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71F6566-507D-402A-8FA9-A797BCD18C4D}">
            <x14:dataBar axisPosition="none">
              <x14:cfvo type="min"/>
              <x14:cfvo type="max"/>
              <x14:negativeFillColor rgb="FF2E75B6"/>
            </x14:dataBar>
          </x14:cfRule>
          <xm:sqref>B33:B40</xm:sqref>
        </x14:conditionalFormatting>
        <x14:conditionalFormatting xmlns:xm="http://schemas.microsoft.com/office/excel/2006/main">
          <x14:cfRule type="dataBar" id="{DAE460D3-C268-4E51-9A34-CABF716F474E}">
            <x14:dataBar axisPosition="none">
              <x14:cfvo type="min"/>
              <x14:cfvo type="max"/>
              <x14:negativeFillColor rgb="FFC55A11"/>
            </x14:dataBar>
          </x14:cfRule>
          <xm:sqref>E33:E35</xm:sqref>
        </x14:conditionalFormatting>
        <x14:conditionalFormatting xmlns:xm="http://schemas.microsoft.com/office/excel/2006/main">
          <x14:cfRule type="dataBar" id="{13247F5E-C088-45BA-A7F7-38E6456C2712}">
            <x14:dataBar axisPosition="none">
              <x14:cfvo type="min"/>
              <x14:cfvo type="max"/>
              <x14:negativeFillColor rgb="FF1F9E89"/>
            </x14:dataBar>
          </x14:cfRule>
          <xm:sqref>I33:I39</xm:sqref>
        </x14:conditionalFormatting>
        <x14:conditionalFormatting xmlns:xm="http://schemas.microsoft.com/office/excel/2006/main">
          <x14:cfRule type="dataBar" id="{E0914868-2590-4C80-9132-E82CFF47575E}">
            <x14:dataBar axisPosition="none">
              <x14:cfvo type="min"/>
              <x14:cfvo type="max"/>
              <x14:negativeFillColor rgb="FF1F9E89"/>
            </x14:dataBar>
          </x14:cfRule>
          <xm:sqref>L33:L39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31"/>
  <sheetViews>
    <sheetView tabSelected="1" zoomScaleNormal="100" workbookViewId="0">
      <pane ySplit="1" topLeftCell="A2" activePane="bottomLeft" state="frozen"/>
      <selection pane="bottomLeft" activeCell="B3" sqref="B3"/>
    </sheetView>
  </sheetViews>
  <sheetFormatPr defaultColWidth="8.6640625" defaultRowHeight="14.4" x14ac:dyDescent="0.3"/>
  <cols>
    <col min="1" max="1" width="39.21875" bestFit="1" customWidth="1"/>
    <col min="2" max="2" width="25" customWidth="1"/>
    <col min="3" max="3" width="13.109375" bestFit="1" customWidth="1"/>
    <col min="4" max="4" width="10.109375" bestFit="1" customWidth="1"/>
    <col min="5" max="5" width="11" bestFit="1" customWidth="1"/>
    <col min="6" max="6" width="14.77734375" bestFit="1" customWidth="1"/>
    <col min="7" max="7" width="9.44140625" bestFit="1" customWidth="1"/>
    <col min="8" max="8" width="7.21875" bestFit="1" customWidth="1"/>
    <col min="9" max="9" width="9.5546875" bestFit="1" customWidth="1"/>
    <col min="10" max="10" width="12.109375" bestFit="1" customWidth="1"/>
    <col min="11" max="12" width="55.77734375" customWidth="1"/>
    <col min="13" max="13" width="0" hidden="1" customWidth="1"/>
  </cols>
  <sheetData>
    <row r="1" spans="1:13" ht="21" customHeight="1" x14ac:dyDescent="0.4">
      <c r="A1" s="67" t="s">
        <v>54</v>
      </c>
      <c r="B1" s="67"/>
      <c r="C1" s="67"/>
      <c r="D1" s="67"/>
      <c r="E1" s="67"/>
      <c r="F1" s="67"/>
      <c r="G1" s="67"/>
      <c r="H1" s="67"/>
      <c r="I1" s="67"/>
      <c r="J1" s="67"/>
      <c r="K1" s="67"/>
    </row>
    <row r="2" spans="1:13" x14ac:dyDescent="0.3">
      <c r="M2">
        <v>1</v>
      </c>
    </row>
    <row r="3" spans="1:13" x14ac:dyDescent="0.3">
      <c r="A3" t="s">
        <v>55</v>
      </c>
      <c r="B3" s="48"/>
      <c r="M3" t="s">
        <v>190</v>
      </c>
    </row>
    <row r="4" spans="1:13" ht="28.5" customHeight="1" x14ac:dyDescent="0.3">
      <c r="A4" s="11" t="s">
        <v>56</v>
      </c>
      <c r="M4">
        <v>1</v>
      </c>
    </row>
    <row r="5" spans="1:13" x14ac:dyDescent="0.3">
      <c r="A5" s="12" t="s">
        <v>9</v>
      </c>
    </row>
    <row r="6" spans="1:13" x14ac:dyDescent="0.3">
      <c r="A6" s="12" t="s">
        <v>10</v>
      </c>
      <c r="B6" s="13"/>
    </row>
    <row r="7" spans="1:13" x14ac:dyDescent="0.3">
      <c r="A7" s="12" t="s">
        <v>57</v>
      </c>
      <c r="B7" s="13"/>
    </row>
    <row r="15" spans="1:13" ht="28.8" x14ac:dyDescent="0.3">
      <c r="A15" s="45" t="s">
        <v>58</v>
      </c>
      <c r="B15" s="45" t="s">
        <v>9</v>
      </c>
      <c r="C15" s="45" t="s">
        <v>12</v>
      </c>
      <c r="D15" s="45" t="s">
        <v>59</v>
      </c>
      <c r="E15" s="45" t="s">
        <v>11</v>
      </c>
      <c r="F15" s="45" t="s">
        <v>10</v>
      </c>
      <c r="G15" s="45" t="s">
        <v>13</v>
      </c>
      <c r="H15" s="45" t="s">
        <v>115</v>
      </c>
      <c r="I15" s="45" t="s">
        <v>189</v>
      </c>
      <c r="J15" s="45" t="s">
        <v>18</v>
      </c>
      <c r="K15" s="45" t="s">
        <v>19</v>
      </c>
      <c r="L15" s="89" t="s">
        <v>21</v>
      </c>
    </row>
    <row r="16" spans="1:13" x14ac:dyDescent="0.3">
      <c r="B16" s="13"/>
      <c r="D16" s="13"/>
      <c r="I16" s="13"/>
      <c r="J16" s="13"/>
      <c r="K16" s="50"/>
    </row>
    <row r="17" spans="1:11" x14ac:dyDescent="0.3">
      <c r="B17" s="13"/>
      <c r="D17" s="13"/>
      <c r="I17" s="13"/>
      <c r="J17" s="13"/>
    </row>
    <row r="18" spans="1:11" x14ac:dyDescent="0.3">
      <c r="B18" s="13"/>
      <c r="D18" s="13"/>
      <c r="I18" s="13"/>
      <c r="J18" s="13"/>
    </row>
    <row r="19" spans="1:11" x14ac:dyDescent="0.3">
      <c r="B19" s="13"/>
      <c r="D19" s="13"/>
      <c r="I19" s="13"/>
      <c r="J19" s="13"/>
    </row>
    <row r="20" spans="1:11" x14ac:dyDescent="0.3">
      <c r="B20" s="13"/>
      <c r="D20" s="13"/>
      <c r="I20" s="13"/>
      <c r="J20" s="13"/>
    </row>
    <row r="21" spans="1:11" x14ac:dyDescent="0.3">
      <c r="B21" s="13"/>
      <c r="D21" s="13"/>
      <c r="I21" s="13"/>
      <c r="J21" s="13"/>
    </row>
    <row r="22" spans="1:11" x14ac:dyDescent="0.3">
      <c r="B22" s="13"/>
      <c r="D22" s="13"/>
      <c r="I22" s="13"/>
      <c r="J22" s="13"/>
    </row>
    <row r="23" spans="1:11" x14ac:dyDescent="0.3">
      <c r="B23" s="13"/>
      <c r="D23" s="13"/>
      <c r="I23" s="13"/>
      <c r="J23" s="13"/>
    </row>
    <row r="24" spans="1:11" x14ac:dyDescent="0.3">
      <c r="D24" s="13"/>
      <c r="I24" s="13"/>
      <c r="J24" s="13"/>
    </row>
    <row r="30" spans="1:11" ht="24" customHeight="1" x14ac:dyDescent="0.3">
      <c r="A30" s="84" t="s">
        <v>179</v>
      </c>
      <c r="B30" s="85"/>
      <c r="C30" s="85"/>
      <c r="D30" s="85"/>
      <c r="E30" s="85"/>
      <c r="F30" s="85"/>
      <c r="G30" s="85"/>
      <c r="H30" s="85"/>
      <c r="I30" s="85"/>
      <c r="J30" s="85"/>
      <c r="K30" s="85"/>
    </row>
    <row r="31" spans="1:11" ht="19.5" customHeight="1" x14ac:dyDescent="0.3">
      <c r="A31" s="86"/>
      <c r="B31" s="86"/>
      <c r="C31" s="86"/>
      <c r="D31" s="86"/>
      <c r="E31" s="86"/>
      <c r="F31" s="86"/>
      <c r="G31" s="86"/>
      <c r="H31" s="86"/>
      <c r="I31" s="86"/>
      <c r="J31" s="86"/>
      <c r="K31" s="86"/>
    </row>
  </sheetData>
  <mergeCells count="3">
    <mergeCell ref="A1:K1"/>
    <mergeCell ref="A30:K30"/>
    <mergeCell ref="A31:K31"/>
  </mergeCells>
  <dataValidations count="1">
    <dataValidation type="list" allowBlank="1" showInputMessage="1" showErrorMessage="1" errorTitle="Invalid status" error="Use one of: Booked, Cutting, Stitching, Trial Pending, Alteration, Ready, Delivered, Cancelled." promptTitle="Status" prompt="Choose the current status. Delivered and Cancelled are treated as closed." sqref="H16:I25" xr:uid="{488697D6-659D-4159-BFB1-B0792066099A}">
      <formula1>HameesStatusList</formula1>
    </dataValidation>
  </dataValidation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35"/>
  <sheetViews>
    <sheetView zoomScaleNormal="100" workbookViewId="0">
      <pane ySplit="1" topLeftCell="A2" activePane="bottomLeft" state="frozen"/>
      <selection pane="bottomLeft" activeCell="B9" sqref="B9"/>
    </sheetView>
  </sheetViews>
  <sheetFormatPr defaultColWidth="9" defaultRowHeight="14.4" x14ac:dyDescent="0.3"/>
  <cols>
    <col min="1" max="1" width="23.33203125" style="5" customWidth="1"/>
    <col min="2" max="2" width="26.88671875" style="5" customWidth="1"/>
    <col min="3" max="3" width="15" style="5" customWidth="1"/>
    <col min="4" max="4" width="15.6640625" style="5" customWidth="1"/>
    <col min="5" max="5" width="12" style="5" customWidth="1"/>
    <col min="6" max="9" width="14" style="5" customWidth="1"/>
    <col min="10" max="11" width="14" style="5" hidden="1" customWidth="1"/>
    <col min="12" max="12" width="12" style="5" customWidth="1"/>
    <col min="13" max="13" width="36.6640625" style="5" customWidth="1"/>
    <col min="14" max="14" width="14" style="5" customWidth="1"/>
    <col min="15" max="15" width="28" style="5" customWidth="1"/>
    <col min="16" max="20" width="8.77734375" style="5" customWidth="1"/>
    <col min="21" max="16384" width="9" style="5"/>
  </cols>
  <sheetData>
    <row r="1" spans="1:21" ht="21.75" customHeight="1" x14ac:dyDescent="0.3">
      <c r="A1" s="61" t="s">
        <v>60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</row>
    <row r="3" spans="1:21" x14ac:dyDescent="0.3">
      <c r="A3" s="62" t="s">
        <v>61</v>
      </c>
      <c r="B3" s="62"/>
    </row>
    <row r="4" spans="1:21" x14ac:dyDescent="0.3">
      <c r="A4" s="51" t="s">
        <v>62</v>
      </c>
      <c r="B4" s="52" t="str">
        <f>"ORD-"&amp;TEXT(COUNTIF(Orders!$A:$A,"ORD-*")+1,"00000")</f>
        <v>ORD-00006</v>
      </c>
    </row>
    <row r="5" spans="1:21" x14ac:dyDescent="0.3">
      <c r="A5" s="51" t="s">
        <v>59</v>
      </c>
      <c r="B5" s="14">
        <f ca="1">TODAY()</f>
        <v>46173</v>
      </c>
    </row>
    <row r="6" spans="1:21" x14ac:dyDescent="0.3">
      <c r="A6" s="51" t="s">
        <v>63</v>
      </c>
      <c r="B6" s="15"/>
    </row>
    <row r="7" spans="1:21" x14ac:dyDescent="0.3">
      <c r="A7" s="53"/>
      <c r="B7" s="54"/>
    </row>
    <row r="8" spans="1:21" x14ac:dyDescent="0.3">
      <c r="A8" s="51" t="s">
        <v>64</v>
      </c>
      <c r="B8" s="55" t="str">
        <f>IFERROR(INDEX(Customers!$A:$A,MATCH($B$9,Customers!$B:$B,0)),"CUST-NEW")</f>
        <v>CUST-NEW</v>
      </c>
    </row>
    <row r="9" spans="1:21" x14ac:dyDescent="0.3">
      <c r="A9" s="51" t="s">
        <v>11</v>
      </c>
      <c r="B9" s="16"/>
    </row>
    <row r="10" spans="1:21" x14ac:dyDescent="0.3">
      <c r="A10" s="51" t="s">
        <v>10</v>
      </c>
      <c r="B10" s="15"/>
    </row>
    <row r="11" spans="1:21" x14ac:dyDescent="0.3">
      <c r="A11" s="51" t="s">
        <v>65</v>
      </c>
      <c r="B11" s="15"/>
    </row>
    <row r="12" spans="1:21" x14ac:dyDescent="0.3">
      <c r="A12" s="51" t="s">
        <v>66</v>
      </c>
      <c r="B12" s="15"/>
    </row>
    <row r="13" spans="1:21" hidden="1" x14ac:dyDescent="0.3">
      <c r="A13" s="51" t="s">
        <v>67</v>
      </c>
      <c r="B13" s="15"/>
    </row>
    <row r="14" spans="1:21" hidden="1" x14ac:dyDescent="0.3">
      <c r="A14" s="51" t="s">
        <v>68</v>
      </c>
      <c r="B14" s="56">
        <f>SUM(K22:K31)</f>
        <v>0</v>
      </c>
    </row>
    <row r="15" spans="1:21" hidden="1" x14ac:dyDescent="0.3">
      <c r="A15" s="51" t="s">
        <v>69</v>
      </c>
      <c r="B15" s="17"/>
    </row>
    <row r="16" spans="1:21" hidden="1" x14ac:dyDescent="0.3">
      <c r="A16" s="51" t="s">
        <v>70</v>
      </c>
      <c r="B16" s="17">
        <f>B14-B15</f>
        <v>0</v>
      </c>
    </row>
    <row r="17" spans="1:19" x14ac:dyDescent="0.3">
      <c r="A17" s="51" t="s">
        <v>71</v>
      </c>
      <c r="B17" s="63"/>
      <c r="C17" s="63"/>
      <c r="D17" s="63"/>
      <c r="E17" s="63"/>
    </row>
    <row r="18" spans="1:19" x14ac:dyDescent="0.3">
      <c r="B18" s="63"/>
      <c r="C18" s="63"/>
      <c r="D18" s="63"/>
      <c r="E18" s="63"/>
    </row>
    <row r="20" spans="1:19" x14ac:dyDescent="0.3">
      <c r="A20" s="62" t="s">
        <v>72</v>
      </c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</row>
    <row r="21" spans="1:19" ht="14.85" customHeight="1" x14ac:dyDescent="0.3">
      <c r="A21" s="57" t="s">
        <v>9</v>
      </c>
      <c r="B21" s="57" t="s">
        <v>12</v>
      </c>
      <c r="C21" s="57" t="s">
        <v>13</v>
      </c>
      <c r="D21" s="57" t="s">
        <v>14</v>
      </c>
      <c r="E21" s="57" t="s">
        <v>15</v>
      </c>
      <c r="F21" s="57" t="s">
        <v>16</v>
      </c>
      <c r="G21" s="57" t="s">
        <v>17</v>
      </c>
      <c r="H21" s="57" t="s">
        <v>18</v>
      </c>
      <c r="I21" s="57" t="s">
        <v>19</v>
      </c>
      <c r="J21" s="57" t="s">
        <v>73</v>
      </c>
      <c r="K21" s="57" t="s">
        <v>74</v>
      </c>
      <c r="L21" s="57" t="s">
        <v>20</v>
      </c>
      <c r="M21" s="64" t="s">
        <v>21</v>
      </c>
      <c r="N21" s="64"/>
      <c r="O21" s="64"/>
    </row>
    <row r="22" spans="1:19" x14ac:dyDescent="0.3">
      <c r="A22" s="58" t="str">
        <f t="shared" ref="A22:A31" si="0">IF($C22&lt;&gt;"",$B$4,"")</f>
        <v/>
      </c>
      <c r="B22" s="58" t="str">
        <f>IF($C22&lt;&gt;"",$B$4&amp;"-"&amp;TEXT(ROWS($C$22:C22),"00"),"")</f>
        <v/>
      </c>
      <c r="C22" s="18"/>
      <c r="D22" s="19"/>
      <c r="E22" s="18"/>
      <c r="F22" s="18"/>
      <c r="G22" s="18"/>
      <c r="H22" s="20"/>
      <c r="I22" s="20"/>
      <c r="J22" s="21"/>
      <c r="K22" s="59" t="str">
        <f t="shared" ref="K22:K31" si="1">IF(OR($D22="",$J22=""),"",$D22*$J22)</f>
        <v/>
      </c>
      <c r="L22" s="18"/>
      <c r="M22" s="63"/>
      <c r="N22" s="63"/>
      <c r="O22" s="63"/>
      <c r="P22" s="65" t="s">
        <v>75</v>
      </c>
      <c r="Q22" s="65"/>
      <c r="R22" s="65"/>
      <c r="S22" s="65"/>
    </row>
    <row r="23" spans="1:19" x14ac:dyDescent="0.3">
      <c r="A23" s="58" t="str">
        <f t="shared" si="0"/>
        <v/>
      </c>
      <c r="B23" s="58" t="str">
        <f>IF($C23&lt;&gt;"",$B$4&amp;"-"&amp;TEXT(ROWS($C$22:C23),"00"),"")</f>
        <v/>
      </c>
      <c r="C23" s="18"/>
      <c r="D23" s="19"/>
      <c r="E23" s="18"/>
      <c r="F23" s="18"/>
      <c r="G23" s="18"/>
      <c r="H23" s="20"/>
      <c r="I23" s="20"/>
      <c r="J23" s="21"/>
      <c r="K23" s="59" t="str">
        <f t="shared" si="1"/>
        <v/>
      </c>
      <c r="L23" s="18"/>
      <c r="M23" s="63"/>
      <c r="N23" s="63"/>
      <c r="O23" s="63"/>
    </row>
    <row r="24" spans="1:19" x14ac:dyDescent="0.3">
      <c r="A24" s="58" t="str">
        <f t="shared" si="0"/>
        <v/>
      </c>
      <c r="B24" s="58" t="str">
        <f>IF($C24&lt;&gt;"",$B$4&amp;"-"&amp;TEXT(ROWS($C$22:C24),"00"),"")</f>
        <v/>
      </c>
      <c r="C24" s="18"/>
      <c r="D24" s="19"/>
      <c r="E24" s="18"/>
      <c r="F24" s="18"/>
      <c r="G24" s="18"/>
      <c r="H24" s="20"/>
      <c r="I24" s="20"/>
      <c r="J24" s="21"/>
      <c r="K24" s="59" t="str">
        <f t="shared" si="1"/>
        <v/>
      </c>
      <c r="L24" s="18"/>
      <c r="M24" s="63"/>
      <c r="N24" s="63"/>
      <c r="O24" s="63"/>
    </row>
    <row r="25" spans="1:19" x14ac:dyDescent="0.3">
      <c r="A25" s="58" t="str">
        <f t="shared" si="0"/>
        <v/>
      </c>
      <c r="B25" s="58" t="str">
        <f>IF($C25&lt;&gt;"",$B$4&amp;"-"&amp;TEXT(ROWS($C$22:C25),"00"),"")</f>
        <v/>
      </c>
      <c r="C25" s="18"/>
      <c r="D25" s="19"/>
      <c r="E25" s="18"/>
      <c r="F25" s="18"/>
      <c r="G25" s="18"/>
      <c r="H25" s="20"/>
      <c r="I25" s="20"/>
      <c r="J25" s="21"/>
      <c r="K25" s="59" t="str">
        <f t="shared" si="1"/>
        <v/>
      </c>
      <c r="L25" s="18"/>
      <c r="M25" s="63"/>
      <c r="N25" s="63"/>
      <c r="O25" s="63"/>
    </row>
    <row r="26" spans="1:19" x14ac:dyDescent="0.3">
      <c r="A26" s="58" t="str">
        <f t="shared" si="0"/>
        <v/>
      </c>
      <c r="B26" s="58" t="str">
        <f>IF($C26&lt;&gt;"",$B$4&amp;"-"&amp;TEXT(ROWS($C$22:C26),"00"),"")</f>
        <v/>
      </c>
      <c r="C26" s="18"/>
      <c r="D26" s="19"/>
      <c r="E26" s="18"/>
      <c r="F26" s="18"/>
      <c r="G26" s="18"/>
      <c r="H26" s="20"/>
      <c r="I26" s="20"/>
      <c r="J26" s="21"/>
      <c r="K26" s="59" t="str">
        <f t="shared" si="1"/>
        <v/>
      </c>
      <c r="L26" s="18"/>
      <c r="M26" s="63"/>
      <c r="N26" s="63"/>
      <c r="O26" s="63"/>
    </row>
    <row r="27" spans="1:19" x14ac:dyDescent="0.3">
      <c r="A27" s="58" t="str">
        <f t="shared" si="0"/>
        <v/>
      </c>
      <c r="B27" s="58" t="str">
        <f>IF($C27&lt;&gt;"",$B$4&amp;"-"&amp;TEXT(ROWS($C$22:C27),"00"),"")</f>
        <v/>
      </c>
      <c r="C27" s="18"/>
      <c r="D27" s="19"/>
      <c r="E27" s="18"/>
      <c r="F27" s="18"/>
      <c r="G27" s="18"/>
      <c r="H27" s="20"/>
      <c r="I27" s="20"/>
      <c r="J27" s="21"/>
      <c r="K27" s="59" t="str">
        <f t="shared" si="1"/>
        <v/>
      </c>
      <c r="L27" s="18"/>
      <c r="M27" s="63"/>
      <c r="N27" s="63"/>
      <c r="O27" s="63"/>
    </row>
    <row r="28" spans="1:19" x14ac:dyDescent="0.3">
      <c r="A28" s="58" t="str">
        <f t="shared" si="0"/>
        <v/>
      </c>
      <c r="B28" s="58" t="str">
        <f>IF($C28&lt;&gt;"",$B$4&amp;"-"&amp;TEXT(ROWS($C$22:C28),"00"),"")</f>
        <v/>
      </c>
      <c r="C28" s="18"/>
      <c r="D28" s="19"/>
      <c r="E28" s="18"/>
      <c r="F28" s="18"/>
      <c r="G28" s="18"/>
      <c r="H28" s="20"/>
      <c r="I28" s="20"/>
      <c r="J28" s="21"/>
      <c r="K28" s="59" t="str">
        <f t="shared" si="1"/>
        <v/>
      </c>
      <c r="L28" s="18"/>
      <c r="M28" s="63"/>
      <c r="N28" s="63"/>
      <c r="O28" s="63"/>
    </row>
    <row r="29" spans="1:19" x14ac:dyDescent="0.3">
      <c r="A29" s="58" t="str">
        <f t="shared" si="0"/>
        <v/>
      </c>
      <c r="B29" s="58" t="str">
        <f>IF($C29&lt;&gt;"",$B$4&amp;"-"&amp;TEXT(ROWS($C$22:C29),"00"),"")</f>
        <v/>
      </c>
      <c r="C29" s="18"/>
      <c r="D29" s="19"/>
      <c r="E29" s="18"/>
      <c r="F29" s="18"/>
      <c r="G29" s="18"/>
      <c r="H29" s="20"/>
      <c r="I29" s="20"/>
      <c r="J29" s="21"/>
      <c r="K29" s="59" t="str">
        <f t="shared" si="1"/>
        <v/>
      </c>
      <c r="L29" s="18"/>
      <c r="M29" s="63"/>
      <c r="N29" s="63"/>
      <c r="O29" s="63"/>
    </row>
    <row r="30" spans="1:19" x14ac:dyDescent="0.3">
      <c r="A30" s="58" t="str">
        <f t="shared" si="0"/>
        <v/>
      </c>
      <c r="B30" s="58" t="str">
        <f>IF($C30&lt;&gt;"",$B$4&amp;"-"&amp;TEXT(ROWS($C$22:C30),"00"),"")</f>
        <v/>
      </c>
      <c r="C30" s="18"/>
      <c r="D30" s="19"/>
      <c r="E30" s="18"/>
      <c r="F30" s="18"/>
      <c r="G30" s="18"/>
      <c r="H30" s="20"/>
      <c r="I30" s="20"/>
      <c r="J30" s="21"/>
      <c r="K30" s="59" t="str">
        <f t="shared" si="1"/>
        <v/>
      </c>
      <c r="L30" s="18"/>
      <c r="M30" s="63"/>
      <c r="N30" s="63"/>
      <c r="O30" s="63"/>
    </row>
    <row r="31" spans="1:19" x14ac:dyDescent="0.3">
      <c r="A31" s="58" t="str">
        <f t="shared" si="0"/>
        <v/>
      </c>
      <c r="B31" s="58" t="str">
        <f>IF($C31&lt;&gt;"",$B$4&amp;"-"&amp;TEXT(ROWS($C$22:C31),"00"),"")</f>
        <v/>
      </c>
      <c r="C31" s="18"/>
      <c r="D31" s="19"/>
      <c r="E31" s="18"/>
      <c r="F31" s="18"/>
      <c r="G31" s="18"/>
      <c r="H31" s="20"/>
      <c r="I31" s="20"/>
      <c r="J31" s="21"/>
      <c r="K31" s="59" t="str">
        <f t="shared" si="1"/>
        <v/>
      </c>
      <c r="L31" s="18"/>
      <c r="M31" s="63"/>
      <c r="N31" s="63"/>
      <c r="O31" s="63"/>
    </row>
    <row r="34" spans="1:21" x14ac:dyDescent="0.3">
      <c r="A34" s="66" t="s">
        <v>76</v>
      </c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</row>
    <row r="35" spans="1:21" ht="27" customHeight="1" x14ac:dyDescent="0.3"/>
  </sheetData>
  <sheetProtection formatCells="0" sort="0" autoFilter="0"/>
  <mergeCells count="17">
    <mergeCell ref="M31:O31"/>
    <mergeCell ref="A34:U34"/>
    <mergeCell ref="M26:O26"/>
    <mergeCell ref="M27:O27"/>
    <mergeCell ref="M28:O28"/>
    <mergeCell ref="M29:O29"/>
    <mergeCell ref="M30:O30"/>
    <mergeCell ref="M22:O22"/>
    <mergeCell ref="P22:S22"/>
    <mergeCell ref="M23:O23"/>
    <mergeCell ref="M24:O24"/>
    <mergeCell ref="M25:O25"/>
    <mergeCell ref="A1:U1"/>
    <mergeCell ref="A3:B3"/>
    <mergeCell ref="B17:E18"/>
    <mergeCell ref="A20:O20"/>
    <mergeCell ref="M21:O21"/>
  </mergeCells>
  <dataValidations count="2">
    <dataValidation allowBlank="1" showInputMessage="1" showErrorMessage="1" promptTitle="Order Date (editable)" prompt="Defaults to today. You can overtype with any order date." sqref="B5" xr:uid="{524F901F-82A6-4A2E-AFA3-E5041EBB7CE2}"/>
    <dataValidation type="list" allowBlank="1" showInputMessage="1" showErrorMessage="1" errorTitle="Invalid status" error="Use one of: Booked, Cutting, Stitching, Trial Pending, Alteration, Ready, Delivered, Cancelled." promptTitle="Status" prompt="Choose the current status. Delivered and Cancelled are treated as closed." sqref="G22:G31" xr:uid="{B8D2F557-1761-4E70-AB98-90BCE37C86C6}">
      <formula1>HameesStatusList</formula1>
    </dataValidation>
  </dataValidations>
  <pageMargins left="0.7" right="0.7" top="0.75" bottom="0.75" header="0.511811023622047" footer="0.511811023622047"/>
  <pageSetup paperSize="9" orientation="portrait" horizontalDpi="300" verticalDpi="300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6A56AE-9E5B-4333-B1C2-302811BD98E8}">
          <x14:formula1>
            <xm:f>Lists!$A$2:$A$40</xm:f>
          </x14:formula1>
          <xm:sqref>C22:C31</xm:sqref>
        </x14:dataValidation>
        <x14:dataValidation type="list" allowBlank="1" showInputMessage="1" showErrorMessage="1" xr:uid="{D478574C-10D9-47AE-89FB-160FB8CAA007}">
          <x14:formula1>
            <xm:f>Lists!$C$2:$C$10</xm:f>
          </x14:formula1>
          <xm:sqref>E22:E31</xm:sqref>
        </x14:dataValidation>
        <x14:dataValidation type="list" allowBlank="1" showInputMessage="1" showErrorMessage="1" xr:uid="{6BE47DE6-872B-4ECE-9E61-68CF3249D7AF}">
          <x14:formula1>
            <xm:f>Lists!$E$2:$E$6</xm:f>
          </x14:formula1>
          <xm:sqref>F22:F31</xm:sqref>
        </x14:dataValidation>
        <x14:dataValidation type="list" allowBlank="1" showInputMessage="1" showErrorMessage="1" xr:uid="{F4432865-DCC7-4A7D-B260-0652333CCCFC}">
          <x14:formula1>
            <xm:f>Lists!$F$2:$F$8</xm:f>
          </x14:formula1>
          <xm:sqref>L22:L31</xm:sqref>
        </x14:dataValidation>
        <x14:dataValidation type="list" allowBlank="1" showInputMessage="1" showErrorMessage="1" xr:uid="{6998EEFA-95A9-454B-BC98-68822F92EBA2}">
          <x14:formula1>
            <xm:f>Lists!$D$2:$D$5</xm:f>
          </x14:formula1>
          <xm:sqref>B13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000"/>
  <sheetViews>
    <sheetView zoomScaleNormal="100" workbookViewId="0">
      <pane ySplit="1" topLeftCell="A2" activePane="bottomLeft" state="frozen"/>
      <selection pane="bottomLeft" activeCell="A5" sqref="A5"/>
    </sheetView>
  </sheetViews>
  <sheetFormatPr defaultColWidth="8.6640625" defaultRowHeight="14.4" x14ac:dyDescent="0.3"/>
  <cols>
    <col min="1" max="1" width="11.77734375" customWidth="1"/>
    <col min="2" max="2" width="10.88671875" customWidth="1"/>
    <col min="3" max="3" width="15.21875" customWidth="1"/>
    <col min="4" max="4" width="55.109375" customWidth="1"/>
    <col min="5" max="5" width="33.109375" customWidth="1"/>
    <col min="6" max="6" width="12.44140625" customWidth="1"/>
    <col min="7" max="7" width="126.21875" customWidth="1"/>
  </cols>
  <sheetData>
    <row r="1" spans="1:7" x14ac:dyDescent="0.3">
      <c r="A1" s="22" t="s">
        <v>58</v>
      </c>
      <c r="B1" s="22" t="s">
        <v>11</v>
      </c>
      <c r="C1" s="22" t="s">
        <v>10</v>
      </c>
      <c r="D1" s="22" t="s">
        <v>65</v>
      </c>
      <c r="E1" s="22" t="s">
        <v>66</v>
      </c>
      <c r="F1" s="22" t="s">
        <v>99</v>
      </c>
      <c r="G1" s="22" t="s">
        <v>98</v>
      </c>
    </row>
    <row r="2" spans="1:7" x14ac:dyDescent="0.3">
      <c r="A2" t="s">
        <v>100</v>
      </c>
      <c r="B2">
        <v>9811224466</v>
      </c>
      <c r="C2" t="s">
        <v>101</v>
      </c>
      <c r="D2" s="23" t="s">
        <v>102</v>
      </c>
      <c r="E2" t="s">
        <v>103</v>
      </c>
      <c r="F2" s="13">
        <v>46171</v>
      </c>
      <c r="G2" s="23" t="s">
        <v>104</v>
      </c>
    </row>
    <row r="3" spans="1:7" x14ac:dyDescent="0.3">
      <c r="A3" t="s">
        <v>105</v>
      </c>
      <c r="B3">
        <v>9811335577</v>
      </c>
      <c r="C3" t="s">
        <v>23</v>
      </c>
      <c r="D3" s="23" t="s">
        <v>106</v>
      </c>
      <c r="E3" t="s">
        <v>107</v>
      </c>
      <c r="F3" s="13">
        <v>46171</v>
      </c>
      <c r="G3" s="23" t="s">
        <v>71</v>
      </c>
    </row>
    <row r="4" spans="1:7" x14ac:dyDescent="0.3">
      <c r="A4" t="s">
        <v>108</v>
      </c>
      <c r="B4">
        <v>9922446688</v>
      </c>
      <c r="C4" t="s">
        <v>37</v>
      </c>
      <c r="D4" s="23" t="s">
        <v>109</v>
      </c>
      <c r="E4" t="s">
        <v>110</v>
      </c>
      <c r="F4" s="13">
        <v>46171</v>
      </c>
      <c r="G4" s="23" t="s">
        <v>111</v>
      </c>
    </row>
    <row r="5" spans="1:7" x14ac:dyDescent="0.3">
      <c r="A5" t="s">
        <v>181</v>
      </c>
      <c r="B5">
        <v>8765432109</v>
      </c>
      <c r="C5" t="s">
        <v>182</v>
      </c>
      <c r="D5" s="23" t="s">
        <v>183</v>
      </c>
      <c r="E5" t="s">
        <v>184</v>
      </c>
      <c r="F5" s="50">
        <v>46173</v>
      </c>
      <c r="G5" s="23" t="s">
        <v>185</v>
      </c>
    </row>
    <row r="6" spans="1:7" x14ac:dyDescent="0.3">
      <c r="D6" s="23"/>
      <c r="G6" s="23"/>
    </row>
    <row r="7" spans="1:7" x14ac:dyDescent="0.3">
      <c r="D7" s="23"/>
      <c r="G7" s="23"/>
    </row>
    <row r="8" spans="1:7" x14ac:dyDescent="0.3">
      <c r="D8" s="23"/>
      <c r="G8" s="23"/>
    </row>
    <row r="9" spans="1:7" x14ac:dyDescent="0.3">
      <c r="D9" s="23"/>
      <c r="G9" s="23"/>
    </row>
    <row r="10" spans="1:7" x14ac:dyDescent="0.3">
      <c r="D10" s="23"/>
      <c r="G10" s="23"/>
    </row>
    <row r="11" spans="1:7" x14ac:dyDescent="0.3">
      <c r="D11" s="23"/>
      <c r="G11" s="23"/>
    </row>
    <row r="12" spans="1:7" x14ac:dyDescent="0.3">
      <c r="D12" s="23"/>
      <c r="G12" s="23"/>
    </row>
    <row r="13" spans="1:7" x14ac:dyDescent="0.3">
      <c r="D13" s="23"/>
      <c r="G13" s="23"/>
    </row>
    <row r="14" spans="1:7" x14ac:dyDescent="0.3">
      <c r="D14" s="23"/>
      <c r="G14" s="23"/>
    </row>
    <row r="15" spans="1:7" x14ac:dyDescent="0.3">
      <c r="D15" s="23"/>
      <c r="G15" s="23"/>
    </row>
    <row r="16" spans="1:7" x14ac:dyDescent="0.3">
      <c r="D16" s="23"/>
      <c r="G16" s="23"/>
    </row>
    <row r="17" spans="4:7" x14ac:dyDescent="0.3">
      <c r="D17" s="23"/>
      <c r="G17" s="23"/>
    </row>
    <row r="18" spans="4:7" x14ac:dyDescent="0.3">
      <c r="D18" s="23"/>
      <c r="G18" s="23"/>
    </row>
    <row r="19" spans="4:7" x14ac:dyDescent="0.3">
      <c r="D19" s="23"/>
      <c r="G19" s="23"/>
    </row>
    <row r="20" spans="4:7" x14ac:dyDescent="0.3">
      <c r="D20" s="23"/>
      <c r="G20" s="23"/>
    </row>
    <row r="21" spans="4:7" x14ac:dyDescent="0.3">
      <c r="D21" s="23"/>
      <c r="G21" s="23"/>
    </row>
    <row r="22" spans="4:7" x14ac:dyDescent="0.3">
      <c r="D22" s="23"/>
      <c r="G22" s="23"/>
    </row>
    <row r="23" spans="4:7" x14ac:dyDescent="0.3">
      <c r="D23" s="23"/>
      <c r="G23" s="23"/>
    </row>
    <row r="24" spans="4:7" x14ac:dyDescent="0.3">
      <c r="D24" s="23"/>
      <c r="G24" s="23"/>
    </row>
    <row r="25" spans="4:7" x14ac:dyDescent="0.3">
      <c r="D25" s="23"/>
      <c r="G25" s="23"/>
    </row>
    <row r="26" spans="4:7" x14ac:dyDescent="0.3">
      <c r="D26" s="23"/>
      <c r="G26" s="23"/>
    </row>
    <row r="27" spans="4:7" x14ac:dyDescent="0.3">
      <c r="D27" s="23"/>
      <c r="G27" s="23"/>
    </row>
    <row r="28" spans="4:7" x14ac:dyDescent="0.3">
      <c r="D28" s="23"/>
      <c r="G28" s="23"/>
    </row>
    <row r="29" spans="4:7" x14ac:dyDescent="0.3">
      <c r="D29" s="23"/>
      <c r="G29" s="23"/>
    </row>
    <row r="30" spans="4:7" x14ac:dyDescent="0.3">
      <c r="D30" s="23"/>
      <c r="G30" s="23"/>
    </row>
    <row r="31" spans="4:7" x14ac:dyDescent="0.3">
      <c r="D31" s="23"/>
      <c r="G31" s="23"/>
    </row>
    <row r="32" spans="4:7" x14ac:dyDescent="0.3">
      <c r="D32" s="23"/>
      <c r="G32" s="23"/>
    </row>
    <row r="33" spans="4:7" x14ac:dyDescent="0.3">
      <c r="D33" s="23"/>
      <c r="G33" s="23"/>
    </row>
    <row r="34" spans="4:7" x14ac:dyDescent="0.3">
      <c r="D34" s="23"/>
      <c r="G34" s="23"/>
    </row>
    <row r="35" spans="4:7" x14ac:dyDescent="0.3">
      <c r="D35" s="23"/>
      <c r="G35" s="23"/>
    </row>
    <row r="36" spans="4:7" x14ac:dyDescent="0.3">
      <c r="D36" s="23"/>
      <c r="G36" s="23"/>
    </row>
    <row r="37" spans="4:7" x14ac:dyDescent="0.3">
      <c r="D37" s="23"/>
      <c r="G37" s="23"/>
    </row>
    <row r="38" spans="4:7" x14ac:dyDescent="0.3">
      <c r="D38" s="23"/>
      <c r="G38" s="23"/>
    </row>
    <row r="39" spans="4:7" x14ac:dyDescent="0.3">
      <c r="D39" s="23"/>
      <c r="G39" s="23"/>
    </row>
    <row r="40" spans="4:7" x14ac:dyDescent="0.3">
      <c r="D40" s="23"/>
      <c r="G40" s="23"/>
    </row>
    <row r="41" spans="4:7" x14ac:dyDescent="0.3">
      <c r="D41" s="23"/>
      <c r="G41" s="23"/>
    </row>
    <row r="42" spans="4:7" x14ac:dyDescent="0.3">
      <c r="D42" s="23"/>
      <c r="G42" s="23"/>
    </row>
    <row r="43" spans="4:7" x14ac:dyDescent="0.3">
      <c r="D43" s="23"/>
      <c r="G43" s="23"/>
    </row>
    <row r="44" spans="4:7" x14ac:dyDescent="0.3">
      <c r="D44" s="23"/>
      <c r="G44" s="23"/>
    </row>
    <row r="45" spans="4:7" x14ac:dyDescent="0.3">
      <c r="D45" s="23"/>
      <c r="G45" s="23"/>
    </row>
    <row r="46" spans="4:7" x14ac:dyDescent="0.3">
      <c r="D46" s="23"/>
      <c r="G46" s="23"/>
    </row>
    <row r="47" spans="4:7" x14ac:dyDescent="0.3">
      <c r="D47" s="23"/>
      <c r="G47" s="23"/>
    </row>
    <row r="48" spans="4:7" x14ac:dyDescent="0.3">
      <c r="D48" s="23"/>
      <c r="G48" s="23"/>
    </row>
    <row r="49" spans="4:7" x14ac:dyDescent="0.3">
      <c r="D49" s="23"/>
      <c r="G49" s="23"/>
    </row>
    <row r="50" spans="4:7" x14ac:dyDescent="0.3">
      <c r="D50" s="23"/>
      <c r="G50" s="23"/>
    </row>
    <row r="51" spans="4:7" x14ac:dyDescent="0.3">
      <c r="D51" s="23"/>
      <c r="G51" s="23"/>
    </row>
    <row r="52" spans="4:7" x14ac:dyDescent="0.3">
      <c r="D52" s="23"/>
      <c r="G52" s="23"/>
    </row>
    <row r="53" spans="4:7" x14ac:dyDescent="0.3">
      <c r="D53" s="23"/>
      <c r="G53" s="23"/>
    </row>
    <row r="54" spans="4:7" x14ac:dyDescent="0.3">
      <c r="D54" s="23"/>
      <c r="G54" s="23"/>
    </row>
    <row r="55" spans="4:7" x14ac:dyDescent="0.3">
      <c r="D55" s="23"/>
      <c r="G55" s="23"/>
    </row>
    <row r="56" spans="4:7" x14ac:dyDescent="0.3">
      <c r="D56" s="23"/>
      <c r="G56" s="23"/>
    </row>
    <row r="57" spans="4:7" x14ac:dyDescent="0.3">
      <c r="D57" s="23"/>
      <c r="G57" s="23"/>
    </row>
    <row r="58" spans="4:7" x14ac:dyDescent="0.3">
      <c r="D58" s="23"/>
      <c r="G58" s="23"/>
    </row>
    <row r="59" spans="4:7" x14ac:dyDescent="0.3">
      <c r="D59" s="23"/>
      <c r="G59" s="23"/>
    </row>
    <row r="60" spans="4:7" x14ac:dyDescent="0.3">
      <c r="D60" s="23"/>
      <c r="G60" s="23"/>
    </row>
    <row r="61" spans="4:7" x14ac:dyDescent="0.3">
      <c r="D61" s="23"/>
      <c r="G61" s="23"/>
    </row>
    <row r="62" spans="4:7" x14ac:dyDescent="0.3">
      <c r="D62" s="23"/>
      <c r="G62" s="23"/>
    </row>
    <row r="63" spans="4:7" x14ac:dyDescent="0.3">
      <c r="D63" s="23"/>
      <c r="G63" s="23"/>
    </row>
    <row r="64" spans="4:7" x14ac:dyDescent="0.3">
      <c r="D64" s="23"/>
      <c r="G64" s="23"/>
    </row>
    <row r="65" spans="4:7" x14ac:dyDescent="0.3">
      <c r="D65" s="23"/>
      <c r="G65" s="23"/>
    </row>
    <row r="66" spans="4:7" x14ac:dyDescent="0.3">
      <c r="D66" s="23"/>
      <c r="G66" s="23"/>
    </row>
    <row r="67" spans="4:7" x14ac:dyDescent="0.3">
      <c r="D67" s="23"/>
      <c r="G67" s="23"/>
    </row>
    <row r="68" spans="4:7" x14ac:dyDescent="0.3">
      <c r="D68" s="23"/>
      <c r="G68" s="23"/>
    </row>
    <row r="69" spans="4:7" x14ac:dyDescent="0.3">
      <c r="D69" s="23"/>
      <c r="G69" s="23"/>
    </row>
    <row r="70" spans="4:7" x14ac:dyDescent="0.3">
      <c r="D70" s="23"/>
      <c r="G70" s="23"/>
    </row>
    <row r="71" spans="4:7" x14ac:dyDescent="0.3">
      <c r="D71" s="23"/>
      <c r="G71" s="23"/>
    </row>
    <row r="72" spans="4:7" x14ac:dyDescent="0.3">
      <c r="D72" s="23"/>
      <c r="G72" s="23"/>
    </row>
    <row r="73" spans="4:7" x14ac:dyDescent="0.3">
      <c r="D73" s="23"/>
      <c r="G73" s="23"/>
    </row>
    <row r="74" spans="4:7" x14ac:dyDescent="0.3">
      <c r="D74" s="23"/>
      <c r="G74" s="23"/>
    </row>
    <row r="75" spans="4:7" x14ac:dyDescent="0.3">
      <c r="D75" s="23"/>
      <c r="G75" s="23"/>
    </row>
    <row r="76" spans="4:7" x14ac:dyDescent="0.3">
      <c r="D76" s="23"/>
      <c r="G76" s="23"/>
    </row>
    <row r="77" spans="4:7" x14ac:dyDescent="0.3">
      <c r="D77" s="23"/>
      <c r="G77" s="23"/>
    </row>
    <row r="78" spans="4:7" x14ac:dyDescent="0.3">
      <c r="D78" s="23"/>
      <c r="G78" s="23"/>
    </row>
    <row r="79" spans="4:7" x14ac:dyDescent="0.3">
      <c r="D79" s="23"/>
      <c r="G79" s="23"/>
    </row>
    <row r="80" spans="4:7" x14ac:dyDescent="0.3">
      <c r="D80" s="23"/>
      <c r="G80" s="23"/>
    </row>
    <row r="81" spans="4:7" x14ac:dyDescent="0.3">
      <c r="D81" s="23"/>
      <c r="G81" s="23"/>
    </row>
    <row r="82" spans="4:7" x14ac:dyDescent="0.3">
      <c r="D82" s="23"/>
      <c r="G82" s="23"/>
    </row>
    <row r="83" spans="4:7" x14ac:dyDescent="0.3">
      <c r="D83" s="23"/>
      <c r="G83" s="23"/>
    </row>
    <row r="84" spans="4:7" x14ac:dyDescent="0.3">
      <c r="D84" s="23"/>
      <c r="G84" s="23"/>
    </row>
    <row r="85" spans="4:7" x14ac:dyDescent="0.3">
      <c r="D85" s="23"/>
      <c r="G85" s="23"/>
    </row>
    <row r="86" spans="4:7" x14ac:dyDescent="0.3">
      <c r="D86" s="23"/>
      <c r="G86" s="23"/>
    </row>
    <row r="87" spans="4:7" x14ac:dyDescent="0.3">
      <c r="D87" s="23"/>
      <c r="G87" s="23"/>
    </row>
    <row r="88" spans="4:7" x14ac:dyDescent="0.3">
      <c r="D88" s="23"/>
      <c r="G88" s="23"/>
    </row>
    <row r="89" spans="4:7" x14ac:dyDescent="0.3">
      <c r="D89" s="23"/>
      <c r="G89" s="23"/>
    </row>
    <row r="90" spans="4:7" x14ac:dyDescent="0.3">
      <c r="D90" s="23"/>
      <c r="G90" s="23"/>
    </row>
    <row r="91" spans="4:7" x14ac:dyDescent="0.3">
      <c r="D91" s="23"/>
      <c r="G91" s="23"/>
    </row>
    <row r="92" spans="4:7" x14ac:dyDescent="0.3">
      <c r="D92" s="23"/>
      <c r="G92" s="23"/>
    </row>
    <row r="93" spans="4:7" x14ac:dyDescent="0.3">
      <c r="D93" s="23"/>
      <c r="G93" s="23"/>
    </row>
    <row r="94" spans="4:7" x14ac:dyDescent="0.3">
      <c r="D94" s="23"/>
      <c r="G94" s="23"/>
    </row>
    <row r="95" spans="4:7" x14ac:dyDescent="0.3">
      <c r="D95" s="23"/>
      <c r="G95" s="23"/>
    </row>
    <row r="96" spans="4:7" x14ac:dyDescent="0.3">
      <c r="D96" s="23"/>
      <c r="G96" s="23"/>
    </row>
    <row r="97" spans="4:7" x14ac:dyDescent="0.3">
      <c r="D97" s="23"/>
      <c r="G97" s="23"/>
    </row>
    <row r="98" spans="4:7" x14ac:dyDescent="0.3">
      <c r="D98" s="23"/>
      <c r="G98" s="23"/>
    </row>
    <row r="99" spans="4:7" x14ac:dyDescent="0.3">
      <c r="D99" s="23"/>
      <c r="G99" s="23"/>
    </row>
    <row r="100" spans="4:7" x14ac:dyDescent="0.3">
      <c r="D100" s="23"/>
      <c r="G100" s="23"/>
    </row>
    <row r="101" spans="4:7" x14ac:dyDescent="0.3">
      <c r="D101" s="23"/>
      <c r="G101" s="23"/>
    </row>
    <row r="102" spans="4:7" x14ac:dyDescent="0.3">
      <c r="D102" s="23"/>
      <c r="G102" s="23"/>
    </row>
    <row r="103" spans="4:7" x14ac:dyDescent="0.3">
      <c r="D103" s="23"/>
      <c r="G103" s="23"/>
    </row>
    <row r="104" spans="4:7" x14ac:dyDescent="0.3">
      <c r="D104" s="23"/>
      <c r="G104" s="23"/>
    </row>
    <row r="105" spans="4:7" x14ac:dyDescent="0.3">
      <c r="D105" s="23"/>
      <c r="G105" s="23"/>
    </row>
    <row r="106" spans="4:7" x14ac:dyDescent="0.3">
      <c r="D106" s="23"/>
      <c r="G106" s="23"/>
    </row>
    <row r="107" spans="4:7" x14ac:dyDescent="0.3">
      <c r="D107" s="23"/>
      <c r="G107" s="23"/>
    </row>
    <row r="108" spans="4:7" x14ac:dyDescent="0.3">
      <c r="D108" s="23"/>
      <c r="G108" s="23"/>
    </row>
    <row r="109" spans="4:7" x14ac:dyDescent="0.3">
      <c r="D109" s="23"/>
      <c r="G109" s="23"/>
    </row>
    <row r="110" spans="4:7" x14ac:dyDescent="0.3">
      <c r="D110" s="23"/>
      <c r="G110" s="23"/>
    </row>
    <row r="111" spans="4:7" x14ac:dyDescent="0.3">
      <c r="D111" s="23"/>
      <c r="G111" s="23"/>
    </row>
    <row r="112" spans="4:7" x14ac:dyDescent="0.3">
      <c r="D112" s="23"/>
      <c r="G112" s="23"/>
    </row>
    <row r="113" spans="4:7" x14ac:dyDescent="0.3">
      <c r="D113" s="23"/>
      <c r="G113" s="23"/>
    </row>
    <row r="114" spans="4:7" x14ac:dyDescent="0.3">
      <c r="D114" s="23"/>
      <c r="G114" s="23"/>
    </row>
    <row r="115" spans="4:7" x14ac:dyDescent="0.3">
      <c r="D115" s="23"/>
      <c r="G115" s="23"/>
    </row>
    <row r="116" spans="4:7" x14ac:dyDescent="0.3">
      <c r="D116" s="23"/>
      <c r="G116" s="23"/>
    </row>
    <row r="117" spans="4:7" x14ac:dyDescent="0.3">
      <c r="D117" s="23"/>
      <c r="G117" s="23"/>
    </row>
    <row r="118" spans="4:7" x14ac:dyDescent="0.3">
      <c r="D118" s="23"/>
      <c r="G118" s="23"/>
    </row>
    <row r="119" spans="4:7" x14ac:dyDescent="0.3">
      <c r="D119" s="23"/>
      <c r="G119" s="23"/>
    </row>
    <row r="120" spans="4:7" x14ac:dyDescent="0.3">
      <c r="D120" s="23"/>
      <c r="G120" s="23"/>
    </row>
    <row r="121" spans="4:7" x14ac:dyDescent="0.3">
      <c r="D121" s="23"/>
      <c r="G121" s="23"/>
    </row>
    <row r="122" spans="4:7" x14ac:dyDescent="0.3">
      <c r="D122" s="23"/>
      <c r="G122" s="23"/>
    </row>
    <row r="123" spans="4:7" x14ac:dyDescent="0.3">
      <c r="D123" s="23"/>
      <c r="G123" s="23"/>
    </row>
    <row r="124" spans="4:7" x14ac:dyDescent="0.3">
      <c r="D124" s="23"/>
      <c r="G124" s="23"/>
    </row>
    <row r="125" spans="4:7" x14ac:dyDescent="0.3">
      <c r="D125" s="23"/>
      <c r="G125" s="23"/>
    </row>
    <row r="126" spans="4:7" x14ac:dyDescent="0.3">
      <c r="D126" s="23"/>
      <c r="G126" s="23"/>
    </row>
    <row r="127" spans="4:7" x14ac:dyDescent="0.3">
      <c r="D127" s="23"/>
      <c r="G127" s="23"/>
    </row>
    <row r="128" spans="4:7" x14ac:dyDescent="0.3">
      <c r="D128" s="23"/>
      <c r="G128" s="23"/>
    </row>
    <row r="129" spans="4:7" x14ac:dyDescent="0.3">
      <c r="D129" s="23"/>
      <c r="G129" s="23"/>
    </row>
    <row r="130" spans="4:7" x14ac:dyDescent="0.3">
      <c r="D130" s="23"/>
      <c r="G130" s="23"/>
    </row>
    <row r="131" spans="4:7" x14ac:dyDescent="0.3">
      <c r="D131" s="23"/>
      <c r="G131" s="23"/>
    </row>
    <row r="132" spans="4:7" x14ac:dyDescent="0.3">
      <c r="D132" s="23"/>
      <c r="G132" s="23"/>
    </row>
    <row r="133" spans="4:7" x14ac:dyDescent="0.3">
      <c r="D133" s="23"/>
      <c r="G133" s="23"/>
    </row>
    <row r="134" spans="4:7" x14ac:dyDescent="0.3">
      <c r="D134" s="23"/>
      <c r="G134" s="23"/>
    </row>
    <row r="135" spans="4:7" x14ac:dyDescent="0.3">
      <c r="D135" s="23"/>
      <c r="G135" s="23"/>
    </row>
    <row r="136" spans="4:7" x14ac:dyDescent="0.3">
      <c r="D136" s="23"/>
      <c r="G136" s="23"/>
    </row>
    <row r="137" spans="4:7" x14ac:dyDescent="0.3">
      <c r="D137" s="23"/>
      <c r="G137" s="23"/>
    </row>
    <row r="138" spans="4:7" x14ac:dyDescent="0.3">
      <c r="D138" s="23"/>
      <c r="G138" s="23"/>
    </row>
    <row r="139" spans="4:7" x14ac:dyDescent="0.3">
      <c r="D139" s="23"/>
      <c r="G139" s="23"/>
    </row>
    <row r="140" spans="4:7" x14ac:dyDescent="0.3">
      <c r="D140" s="23"/>
      <c r="G140" s="23"/>
    </row>
    <row r="141" spans="4:7" x14ac:dyDescent="0.3">
      <c r="D141" s="23"/>
      <c r="G141" s="23"/>
    </row>
    <row r="142" spans="4:7" x14ac:dyDescent="0.3">
      <c r="D142" s="23"/>
      <c r="G142" s="23"/>
    </row>
    <row r="143" spans="4:7" x14ac:dyDescent="0.3">
      <c r="D143" s="23"/>
      <c r="G143" s="23"/>
    </row>
    <row r="144" spans="4:7" x14ac:dyDescent="0.3">
      <c r="D144" s="23"/>
      <c r="G144" s="23"/>
    </row>
    <row r="145" spans="4:7" x14ac:dyDescent="0.3">
      <c r="D145" s="23"/>
      <c r="G145" s="23"/>
    </row>
    <row r="146" spans="4:7" x14ac:dyDescent="0.3">
      <c r="D146" s="23"/>
      <c r="G146" s="23"/>
    </row>
    <row r="147" spans="4:7" x14ac:dyDescent="0.3">
      <c r="D147" s="23"/>
      <c r="G147" s="23"/>
    </row>
    <row r="148" spans="4:7" x14ac:dyDescent="0.3">
      <c r="D148" s="23"/>
      <c r="G148" s="23"/>
    </row>
    <row r="149" spans="4:7" x14ac:dyDescent="0.3">
      <c r="D149" s="23"/>
      <c r="G149" s="23"/>
    </row>
    <row r="150" spans="4:7" x14ac:dyDescent="0.3">
      <c r="D150" s="23"/>
      <c r="G150" s="23"/>
    </row>
    <row r="151" spans="4:7" x14ac:dyDescent="0.3">
      <c r="D151" s="23"/>
      <c r="G151" s="23"/>
    </row>
    <row r="152" spans="4:7" x14ac:dyDescent="0.3">
      <c r="D152" s="23"/>
      <c r="G152" s="23"/>
    </row>
    <row r="153" spans="4:7" x14ac:dyDescent="0.3">
      <c r="D153" s="23"/>
      <c r="G153" s="23"/>
    </row>
    <row r="154" spans="4:7" x14ac:dyDescent="0.3">
      <c r="D154" s="23"/>
      <c r="G154" s="23"/>
    </row>
    <row r="155" spans="4:7" x14ac:dyDescent="0.3">
      <c r="D155" s="23"/>
      <c r="G155" s="23"/>
    </row>
    <row r="156" spans="4:7" x14ac:dyDescent="0.3">
      <c r="D156" s="23"/>
      <c r="G156" s="23"/>
    </row>
    <row r="157" spans="4:7" x14ac:dyDescent="0.3">
      <c r="D157" s="23"/>
      <c r="G157" s="23"/>
    </row>
    <row r="158" spans="4:7" x14ac:dyDescent="0.3">
      <c r="D158" s="23"/>
      <c r="G158" s="23"/>
    </row>
    <row r="159" spans="4:7" x14ac:dyDescent="0.3">
      <c r="D159" s="23"/>
      <c r="G159" s="23"/>
    </row>
    <row r="160" spans="4:7" x14ac:dyDescent="0.3">
      <c r="D160" s="23"/>
      <c r="G160" s="23"/>
    </row>
    <row r="161" spans="4:7" x14ac:dyDescent="0.3">
      <c r="D161" s="23"/>
      <c r="G161" s="23"/>
    </row>
    <row r="162" spans="4:7" x14ac:dyDescent="0.3">
      <c r="D162" s="23"/>
      <c r="G162" s="23"/>
    </row>
    <row r="163" spans="4:7" x14ac:dyDescent="0.3">
      <c r="D163" s="23"/>
      <c r="G163" s="23"/>
    </row>
    <row r="164" spans="4:7" x14ac:dyDescent="0.3">
      <c r="D164" s="23"/>
      <c r="G164" s="23"/>
    </row>
    <row r="165" spans="4:7" x14ac:dyDescent="0.3">
      <c r="D165" s="23"/>
      <c r="G165" s="23"/>
    </row>
    <row r="166" spans="4:7" x14ac:dyDescent="0.3">
      <c r="D166" s="23"/>
      <c r="G166" s="23"/>
    </row>
    <row r="167" spans="4:7" x14ac:dyDescent="0.3">
      <c r="D167" s="23"/>
      <c r="G167" s="23"/>
    </row>
    <row r="168" spans="4:7" x14ac:dyDescent="0.3">
      <c r="D168" s="23"/>
      <c r="G168" s="23"/>
    </row>
    <row r="169" spans="4:7" x14ac:dyDescent="0.3">
      <c r="D169" s="23"/>
      <c r="G169" s="23"/>
    </row>
    <row r="170" spans="4:7" x14ac:dyDescent="0.3">
      <c r="D170" s="23"/>
      <c r="G170" s="23"/>
    </row>
    <row r="171" spans="4:7" x14ac:dyDescent="0.3">
      <c r="D171" s="23"/>
      <c r="G171" s="23"/>
    </row>
    <row r="172" spans="4:7" x14ac:dyDescent="0.3">
      <c r="D172" s="23"/>
      <c r="G172" s="23"/>
    </row>
    <row r="173" spans="4:7" x14ac:dyDescent="0.3">
      <c r="D173" s="23"/>
      <c r="G173" s="23"/>
    </row>
    <row r="174" spans="4:7" x14ac:dyDescent="0.3">
      <c r="D174" s="23"/>
      <c r="G174" s="23"/>
    </row>
    <row r="175" spans="4:7" x14ac:dyDescent="0.3">
      <c r="D175" s="23"/>
      <c r="G175" s="23"/>
    </row>
    <row r="176" spans="4:7" x14ac:dyDescent="0.3">
      <c r="D176" s="23"/>
      <c r="G176" s="23"/>
    </row>
    <row r="177" spans="4:7" x14ac:dyDescent="0.3">
      <c r="D177" s="23"/>
      <c r="G177" s="23"/>
    </row>
    <row r="178" spans="4:7" x14ac:dyDescent="0.3">
      <c r="D178" s="23"/>
      <c r="G178" s="23"/>
    </row>
    <row r="179" spans="4:7" x14ac:dyDescent="0.3">
      <c r="D179" s="23"/>
      <c r="G179" s="23"/>
    </row>
    <row r="180" spans="4:7" x14ac:dyDescent="0.3">
      <c r="D180" s="23"/>
      <c r="G180" s="23"/>
    </row>
    <row r="181" spans="4:7" x14ac:dyDescent="0.3">
      <c r="D181" s="23"/>
      <c r="G181" s="23"/>
    </row>
    <row r="182" spans="4:7" x14ac:dyDescent="0.3">
      <c r="D182" s="23"/>
      <c r="G182" s="23"/>
    </row>
    <row r="183" spans="4:7" x14ac:dyDescent="0.3">
      <c r="D183" s="23"/>
      <c r="G183" s="23"/>
    </row>
    <row r="184" spans="4:7" x14ac:dyDescent="0.3">
      <c r="D184" s="23"/>
      <c r="G184" s="23"/>
    </row>
    <row r="185" spans="4:7" x14ac:dyDescent="0.3">
      <c r="D185" s="23"/>
      <c r="G185" s="23"/>
    </row>
    <row r="186" spans="4:7" x14ac:dyDescent="0.3">
      <c r="D186" s="23"/>
      <c r="G186" s="23"/>
    </row>
    <row r="187" spans="4:7" x14ac:dyDescent="0.3">
      <c r="D187" s="23"/>
      <c r="G187" s="23"/>
    </row>
    <row r="188" spans="4:7" x14ac:dyDescent="0.3">
      <c r="D188" s="23"/>
      <c r="G188" s="23"/>
    </row>
    <row r="189" spans="4:7" x14ac:dyDescent="0.3">
      <c r="D189" s="23"/>
      <c r="G189" s="23"/>
    </row>
    <row r="190" spans="4:7" x14ac:dyDescent="0.3">
      <c r="D190" s="23"/>
      <c r="G190" s="23"/>
    </row>
    <row r="191" spans="4:7" x14ac:dyDescent="0.3">
      <c r="D191" s="23"/>
      <c r="G191" s="23"/>
    </row>
    <row r="192" spans="4:7" x14ac:dyDescent="0.3">
      <c r="D192" s="23"/>
      <c r="G192" s="23"/>
    </row>
    <row r="193" spans="4:7" x14ac:dyDescent="0.3">
      <c r="D193" s="23"/>
      <c r="G193" s="23"/>
    </row>
    <row r="194" spans="4:7" x14ac:dyDescent="0.3">
      <c r="D194" s="23"/>
      <c r="G194" s="23"/>
    </row>
    <row r="195" spans="4:7" x14ac:dyDescent="0.3">
      <c r="D195" s="23"/>
      <c r="G195" s="23"/>
    </row>
    <row r="196" spans="4:7" x14ac:dyDescent="0.3">
      <c r="D196" s="23"/>
      <c r="G196" s="23"/>
    </row>
    <row r="197" spans="4:7" x14ac:dyDescent="0.3">
      <c r="D197" s="23"/>
      <c r="G197" s="23"/>
    </row>
    <row r="198" spans="4:7" x14ac:dyDescent="0.3">
      <c r="D198" s="23"/>
      <c r="G198" s="23"/>
    </row>
    <row r="199" spans="4:7" x14ac:dyDescent="0.3">
      <c r="D199" s="23"/>
      <c r="G199" s="23"/>
    </row>
    <row r="200" spans="4:7" x14ac:dyDescent="0.3">
      <c r="D200" s="23"/>
      <c r="G200" s="23"/>
    </row>
    <row r="201" spans="4:7" x14ac:dyDescent="0.3">
      <c r="D201" s="23"/>
      <c r="G201" s="23"/>
    </row>
    <row r="202" spans="4:7" x14ac:dyDescent="0.3">
      <c r="D202" s="23"/>
      <c r="G202" s="23"/>
    </row>
    <row r="203" spans="4:7" x14ac:dyDescent="0.3">
      <c r="D203" s="23"/>
      <c r="G203" s="23"/>
    </row>
    <row r="204" spans="4:7" x14ac:dyDescent="0.3">
      <c r="D204" s="23"/>
      <c r="G204" s="23"/>
    </row>
    <row r="205" spans="4:7" x14ac:dyDescent="0.3">
      <c r="D205" s="23"/>
      <c r="G205" s="23"/>
    </row>
    <row r="206" spans="4:7" x14ac:dyDescent="0.3">
      <c r="D206" s="23"/>
      <c r="G206" s="23"/>
    </row>
    <row r="207" spans="4:7" x14ac:dyDescent="0.3">
      <c r="D207" s="23"/>
      <c r="G207" s="23"/>
    </row>
    <row r="208" spans="4:7" x14ac:dyDescent="0.3">
      <c r="D208" s="23"/>
      <c r="G208" s="23"/>
    </row>
    <row r="209" spans="4:7" x14ac:dyDescent="0.3">
      <c r="D209" s="23"/>
      <c r="G209" s="23"/>
    </row>
    <row r="210" spans="4:7" x14ac:dyDescent="0.3">
      <c r="D210" s="23"/>
      <c r="G210" s="23"/>
    </row>
    <row r="211" spans="4:7" x14ac:dyDescent="0.3">
      <c r="D211" s="23"/>
      <c r="G211" s="23"/>
    </row>
    <row r="212" spans="4:7" x14ac:dyDescent="0.3">
      <c r="D212" s="23"/>
      <c r="G212" s="23"/>
    </row>
    <row r="213" spans="4:7" x14ac:dyDescent="0.3">
      <c r="D213" s="23"/>
      <c r="G213" s="23"/>
    </row>
    <row r="214" spans="4:7" x14ac:dyDescent="0.3">
      <c r="D214" s="23"/>
      <c r="G214" s="23"/>
    </row>
    <row r="215" spans="4:7" x14ac:dyDescent="0.3">
      <c r="D215" s="23"/>
      <c r="G215" s="23"/>
    </row>
    <row r="216" spans="4:7" x14ac:dyDescent="0.3">
      <c r="D216" s="23"/>
      <c r="G216" s="23"/>
    </row>
    <row r="217" spans="4:7" x14ac:dyDescent="0.3">
      <c r="D217" s="23"/>
      <c r="G217" s="23"/>
    </row>
    <row r="218" spans="4:7" x14ac:dyDescent="0.3">
      <c r="D218" s="23"/>
      <c r="G218" s="23"/>
    </row>
    <row r="219" spans="4:7" x14ac:dyDescent="0.3">
      <c r="D219" s="23"/>
      <c r="G219" s="23"/>
    </row>
    <row r="220" spans="4:7" x14ac:dyDescent="0.3">
      <c r="D220" s="23"/>
      <c r="G220" s="23"/>
    </row>
    <row r="221" spans="4:7" x14ac:dyDescent="0.3">
      <c r="D221" s="23"/>
      <c r="G221" s="23"/>
    </row>
    <row r="222" spans="4:7" x14ac:dyDescent="0.3">
      <c r="D222" s="23"/>
      <c r="G222" s="23"/>
    </row>
    <row r="223" spans="4:7" x14ac:dyDescent="0.3">
      <c r="D223" s="23"/>
      <c r="G223" s="23"/>
    </row>
    <row r="224" spans="4:7" x14ac:dyDescent="0.3">
      <c r="D224" s="23"/>
      <c r="G224" s="23"/>
    </row>
    <row r="225" spans="4:7" x14ac:dyDescent="0.3">
      <c r="D225" s="23"/>
      <c r="G225" s="23"/>
    </row>
    <row r="226" spans="4:7" x14ac:dyDescent="0.3">
      <c r="D226" s="23"/>
      <c r="G226" s="23"/>
    </row>
    <row r="227" spans="4:7" x14ac:dyDescent="0.3">
      <c r="D227" s="23"/>
      <c r="G227" s="23"/>
    </row>
    <row r="228" spans="4:7" x14ac:dyDescent="0.3">
      <c r="D228" s="23"/>
      <c r="G228" s="23"/>
    </row>
    <row r="229" spans="4:7" x14ac:dyDescent="0.3">
      <c r="D229" s="23"/>
      <c r="G229" s="23"/>
    </row>
    <row r="230" spans="4:7" x14ac:dyDescent="0.3">
      <c r="D230" s="23"/>
      <c r="G230" s="23"/>
    </row>
    <row r="231" spans="4:7" x14ac:dyDescent="0.3">
      <c r="D231" s="23"/>
      <c r="G231" s="23"/>
    </row>
    <row r="232" spans="4:7" x14ac:dyDescent="0.3">
      <c r="D232" s="23"/>
      <c r="G232" s="23"/>
    </row>
    <row r="233" spans="4:7" x14ac:dyDescent="0.3">
      <c r="D233" s="23"/>
      <c r="G233" s="23"/>
    </row>
    <row r="234" spans="4:7" x14ac:dyDescent="0.3">
      <c r="D234" s="23"/>
      <c r="G234" s="23"/>
    </row>
    <row r="235" spans="4:7" x14ac:dyDescent="0.3">
      <c r="D235" s="23"/>
      <c r="G235" s="23"/>
    </row>
    <row r="236" spans="4:7" x14ac:dyDescent="0.3">
      <c r="D236" s="23"/>
      <c r="G236" s="23"/>
    </row>
    <row r="237" spans="4:7" x14ac:dyDescent="0.3">
      <c r="D237" s="23"/>
      <c r="G237" s="23"/>
    </row>
    <row r="238" spans="4:7" x14ac:dyDescent="0.3">
      <c r="D238" s="23"/>
      <c r="G238" s="23"/>
    </row>
    <row r="239" spans="4:7" x14ac:dyDescent="0.3">
      <c r="D239" s="23"/>
      <c r="G239" s="23"/>
    </row>
    <row r="240" spans="4:7" x14ac:dyDescent="0.3">
      <c r="D240" s="23"/>
      <c r="G240" s="23"/>
    </row>
    <row r="241" spans="4:7" x14ac:dyDescent="0.3">
      <c r="D241" s="23"/>
      <c r="G241" s="23"/>
    </row>
    <row r="242" spans="4:7" x14ac:dyDescent="0.3">
      <c r="D242" s="23"/>
      <c r="G242" s="23"/>
    </row>
    <row r="243" spans="4:7" x14ac:dyDescent="0.3">
      <c r="D243" s="23"/>
      <c r="G243" s="23"/>
    </row>
    <row r="244" spans="4:7" x14ac:dyDescent="0.3">
      <c r="D244" s="23"/>
      <c r="G244" s="23"/>
    </row>
    <row r="245" spans="4:7" x14ac:dyDescent="0.3">
      <c r="D245" s="23"/>
      <c r="G245" s="23"/>
    </row>
    <row r="246" spans="4:7" x14ac:dyDescent="0.3">
      <c r="D246" s="23"/>
      <c r="G246" s="23"/>
    </row>
    <row r="247" spans="4:7" x14ac:dyDescent="0.3">
      <c r="D247" s="23"/>
      <c r="G247" s="23"/>
    </row>
    <row r="248" spans="4:7" x14ac:dyDescent="0.3">
      <c r="D248" s="23"/>
      <c r="G248" s="23"/>
    </row>
    <row r="249" spans="4:7" x14ac:dyDescent="0.3">
      <c r="D249" s="23"/>
      <c r="G249" s="23"/>
    </row>
    <row r="250" spans="4:7" x14ac:dyDescent="0.3">
      <c r="D250" s="23"/>
      <c r="G250" s="23"/>
    </row>
    <row r="251" spans="4:7" x14ac:dyDescent="0.3">
      <c r="D251" s="23"/>
      <c r="G251" s="23"/>
    </row>
    <row r="252" spans="4:7" x14ac:dyDescent="0.3">
      <c r="D252" s="23"/>
      <c r="G252" s="23"/>
    </row>
    <row r="253" spans="4:7" x14ac:dyDescent="0.3">
      <c r="D253" s="23"/>
      <c r="G253" s="23"/>
    </row>
    <row r="254" spans="4:7" x14ac:dyDescent="0.3">
      <c r="D254" s="23"/>
      <c r="G254" s="23"/>
    </row>
    <row r="255" spans="4:7" x14ac:dyDescent="0.3">
      <c r="D255" s="23"/>
      <c r="G255" s="23"/>
    </row>
    <row r="256" spans="4:7" x14ac:dyDescent="0.3">
      <c r="D256" s="23"/>
      <c r="G256" s="23"/>
    </row>
    <row r="257" spans="4:7" x14ac:dyDescent="0.3">
      <c r="D257" s="23"/>
      <c r="G257" s="23"/>
    </row>
    <row r="258" spans="4:7" x14ac:dyDescent="0.3">
      <c r="D258" s="23"/>
      <c r="G258" s="23"/>
    </row>
    <row r="259" spans="4:7" x14ac:dyDescent="0.3">
      <c r="D259" s="23"/>
      <c r="G259" s="23"/>
    </row>
    <row r="260" spans="4:7" x14ac:dyDescent="0.3">
      <c r="D260" s="23"/>
      <c r="G260" s="23"/>
    </row>
    <row r="261" spans="4:7" x14ac:dyDescent="0.3">
      <c r="D261" s="23"/>
      <c r="G261" s="23"/>
    </row>
    <row r="262" spans="4:7" x14ac:dyDescent="0.3">
      <c r="D262" s="23"/>
      <c r="G262" s="23"/>
    </row>
    <row r="263" spans="4:7" x14ac:dyDescent="0.3">
      <c r="D263" s="23"/>
      <c r="G263" s="23"/>
    </row>
    <row r="264" spans="4:7" x14ac:dyDescent="0.3">
      <c r="D264" s="23"/>
      <c r="G264" s="23"/>
    </row>
    <row r="265" spans="4:7" x14ac:dyDescent="0.3">
      <c r="D265" s="23"/>
      <c r="G265" s="23"/>
    </row>
    <row r="266" spans="4:7" x14ac:dyDescent="0.3">
      <c r="D266" s="23"/>
      <c r="G266" s="23"/>
    </row>
    <row r="267" spans="4:7" x14ac:dyDescent="0.3">
      <c r="D267" s="23"/>
      <c r="G267" s="23"/>
    </row>
    <row r="268" spans="4:7" x14ac:dyDescent="0.3">
      <c r="D268" s="23"/>
      <c r="G268" s="23"/>
    </row>
    <row r="269" spans="4:7" x14ac:dyDescent="0.3">
      <c r="D269" s="23"/>
      <c r="G269" s="23"/>
    </row>
    <row r="270" spans="4:7" x14ac:dyDescent="0.3">
      <c r="D270" s="23"/>
      <c r="G270" s="23"/>
    </row>
    <row r="271" spans="4:7" x14ac:dyDescent="0.3">
      <c r="D271" s="23"/>
      <c r="G271" s="23"/>
    </row>
    <row r="272" spans="4:7" x14ac:dyDescent="0.3">
      <c r="D272" s="23"/>
      <c r="G272" s="23"/>
    </row>
    <row r="273" spans="4:7" x14ac:dyDescent="0.3">
      <c r="D273" s="23"/>
      <c r="G273" s="23"/>
    </row>
    <row r="274" spans="4:7" x14ac:dyDescent="0.3">
      <c r="D274" s="23"/>
      <c r="G274" s="23"/>
    </row>
    <row r="275" spans="4:7" x14ac:dyDescent="0.3">
      <c r="D275" s="23"/>
      <c r="G275" s="23"/>
    </row>
    <row r="276" spans="4:7" x14ac:dyDescent="0.3">
      <c r="D276" s="23"/>
      <c r="G276" s="23"/>
    </row>
    <row r="277" spans="4:7" x14ac:dyDescent="0.3">
      <c r="D277" s="23"/>
      <c r="G277" s="23"/>
    </row>
    <row r="278" spans="4:7" x14ac:dyDescent="0.3">
      <c r="D278" s="23"/>
      <c r="G278" s="23"/>
    </row>
    <row r="279" spans="4:7" x14ac:dyDescent="0.3">
      <c r="D279" s="23"/>
      <c r="G279" s="23"/>
    </row>
    <row r="280" spans="4:7" x14ac:dyDescent="0.3">
      <c r="D280" s="23"/>
      <c r="G280" s="23"/>
    </row>
    <row r="281" spans="4:7" x14ac:dyDescent="0.3">
      <c r="D281" s="23"/>
      <c r="G281" s="23"/>
    </row>
    <row r="282" spans="4:7" x14ac:dyDescent="0.3">
      <c r="D282" s="23"/>
      <c r="G282" s="23"/>
    </row>
    <row r="283" spans="4:7" x14ac:dyDescent="0.3">
      <c r="D283" s="23"/>
      <c r="G283" s="23"/>
    </row>
    <row r="284" spans="4:7" x14ac:dyDescent="0.3">
      <c r="D284" s="23"/>
      <c r="G284" s="23"/>
    </row>
    <row r="285" spans="4:7" x14ac:dyDescent="0.3">
      <c r="D285" s="23"/>
      <c r="G285" s="23"/>
    </row>
    <row r="286" spans="4:7" x14ac:dyDescent="0.3">
      <c r="D286" s="23"/>
      <c r="G286" s="23"/>
    </row>
    <row r="287" spans="4:7" x14ac:dyDescent="0.3">
      <c r="D287" s="23"/>
      <c r="G287" s="23"/>
    </row>
    <row r="288" spans="4:7" x14ac:dyDescent="0.3">
      <c r="D288" s="23"/>
      <c r="G288" s="23"/>
    </row>
    <row r="289" spans="4:7" x14ac:dyDescent="0.3">
      <c r="D289" s="23"/>
      <c r="G289" s="23"/>
    </row>
    <row r="290" spans="4:7" x14ac:dyDescent="0.3">
      <c r="D290" s="23"/>
      <c r="G290" s="23"/>
    </row>
    <row r="291" spans="4:7" x14ac:dyDescent="0.3">
      <c r="D291" s="23"/>
      <c r="G291" s="23"/>
    </row>
    <row r="292" spans="4:7" x14ac:dyDescent="0.3">
      <c r="D292" s="23"/>
      <c r="G292" s="23"/>
    </row>
    <row r="293" spans="4:7" x14ac:dyDescent="0.3">
      <c r="D293" s="23"/>
      <c r="G293" s="23"/>
    </row>
    <row r="294" spans="4:7" x14ac:dyDescent="0.3">
      <c r="D294" s="23"/>
      <c r="G294" s="23"/>
    </row>
    <row r="295" spans="4:7" x14ac:dyDescent="0.3">
      <c r="D295" s="23"/>
      <c r="G295" s="23"/>
    </row>
    <row r="296" spans="4:7" x14ac:dyDescent="0.3">
      <c r="D296" s="23"/>
      <c r="G296" s="23"/>
    </row>
    <row r="297" spans="4:7" x14ac:dyDescent="0.3">
      <c r="D297" s="23"/>
      <c r="G297" s="23"/>
    </row>
    <row r="298" spans="4:7" x14ac:dyDescent="0.3">
      <c r="D298" s="23"/>
      <c r="G298" s="23"/>
    </row>
    <row r="299" spans="4:7" x14ac:dyDescent="0.3">
      <c r="D299" s="23"/>
      <c r="G299" s="23"/>
    </row>
    <row r="300" spans="4:7" x14ac:dyDescent="0.3">
      <c r="D300" s="23"/>
      <c r="G300" s="23"/>
    </row>
    <row r="301" spans="4:7" x14ac:dyDescent="0.3">
      <c r="D301" s="23"/>
      <c r="G301" s="23"/>
    </row>
    <row r="302" spans="4:7" x14ac:dyDescent="0.3">
      <c r="D302" s="23"/>
      <c r="G302" s="23"/>
    </row>
    <row r="303" spans="4:7" x14ac:dyDescent="0.3">
      <c r="D303" s="23"/>
      <c r="G303" s="23"/>
    </row>
    <row r="304" spans="4:7" x14ac:dyDescent="0.3">
      <c r="D304" s="23"/>
      <c r="G304" s="23"/>
    </row>
    <row r="305" spans="4:7" x14ac:dyDescent="0.3">
      <c r="D305" s="23"/>
      <c r="G305" s="23"/>
    </row>
    <row r="306" spans="4:7" x14ac:dyDescent="0.3">
      <c r="D306" s="23"/>
      <c r="G306" s="23"/>
    </row>
    <row r="307" spans="4:7" x14ac:dyDescent="0.3">
      <c r="D307" s="23"/>
      <c r="G307" s="23"/>
    </row>
    <row r="308" spans="4:7" x14ac:dyDescent="0.3">
      <c r="D308" s="23"/>
      <c r="G308" s="23"/>
    </row>
    <row r="309" spans="4:7" x14ac:dyDescent="0.3">
      <c r="D309" s="23"/>
      <c r="G309" s="23"/>
    </row>
    <row r="310" spans="4:7" x14ac:dyDescent="0.3">
      <c r="D310" s="23"/>
      <c r="G310" s="23"/>
    </row>
    <row r="311" spans="4:7" x14ac:dyDescent="0.3">
      <c r="D311" s="23"/>
      <c r="G311" s="23"/>
    </row>
    <row r="312" spans="4:7" x14ac:dyDescent="0.3">
      <c r="D312" s="23"/>
      <c r="G312" s="23"/>
    </row>
    <row r="313" spans="4:7" x14ac:dyDescent="0.3">
      <c r="D313" s="23"/>
      <c r="G313" s="23"/>
    </row>
    <row r="314" spans="4:7" x14ac:dyDescent="0.3">
      <c r="D314" s="23"/>
      <c r="G314" s="23"/>
    </row>
    <row r="315" spans="4:7" x14ac:dyDescent="0.3">
      <c r="D315" s="23"/>
      <c r="G315" s="23"/>
    </row>
    <row r="316" spans="4:7" x14ac:dyDescent="0.3">
      <c r="D316" s="23"/>
      <c r="G316" s="23"/>
    </row>
    <row r="317" spans="4:7" x14ac:dyDescent="0.3">
      <c r="D317" s="23"/>
      <c r="G317" s="23"/>
    </row>
    <row r="318" spans="4:7" x14ac:dyDescent="0.3">
      <c r="D318" s="23"/>
      <c r="G318" s="23"/>
    </row>
    <row r="319" spans="4:7" x14ac:dyDescent="0.3">
      <c r="D319" s="23"/>
      <c r="G319" s="23"/>
    </row>
    <row r="320" spans="4:7" x14ac:dyDescent="0.3">
      <c r="D320" s="23"/>
      <c r="G320" s="23"/>
    </row>
    <row r="321" spans="4:7" x14ac:dyDescent="0.3">
      <c r="D321" s="23"/>
      <c r="G321" s="23"/>
    </row>
    <row r="322" spans="4:7" x14ac:dyDescent="0.3">
      <c r="D322" s="23"/>
      <c r="G322" s="23"/>
    </row>
    <row r="323" spans="4:7" x14ac:dyDescent="0.3">
      <c r="D323" s="23"/>
      <c r="G323" s="23"/>
    </row>
    <row r="324" spans="4:7" x14ac:dyDescent="0.3">
      <c r="D324" s="23"/>
      <c r="G324" s="23"/>
    </row>
    <row r="325" spans="4:7" x14ac:dyDescent="0.3">
      <c r="D325" s="23"/>
      <c r="G325" s="23"/>
    </row>
    <row r="326" spans="4:7" x14ac:dyDescent="0.3">
      <c r="D326" s="23"/>
      <c r="G326" s="23"/>
    </row>
    <row r="327" spans="4:7" x14ac:dyDescent="0.3">
      <c r="D327" s="23"/>
      <c r="G327" s="23"/>
    </row>
    <row r="328" spans="4:7" x14ac:dyDescent="0.3">
      <c r="D328" s="23"/>
      <c r="G328" s="23"/>
    </row>
    <row r="329" spans="4:7" x14ac:dyDescent="0.3">
      <c r="D329" s="23"/>
      <c r="G329" s="23"/>
    </row>
    <row r="330" spans="4:7" x14ac:dyDescent="0.3">
      <c r="D330" s="23"/>
      <c r="G330" s="23"/>
    </row>
    <row r="331" spans="4:7" x14ac:dyDescent="0.3">
      <c r="D331" s="23"/>
      <c r="G331" s="23"/>
    </row>
    <row r="332" spans="4:7" x14ac:dyDescent="0.3">
      <c r="D332" s="23"/>
      <c r="G332" s="23"/>
    </row>
    <row r="333" spans="4:7" x14ac:dyDescent="0.3">
      <c r="D333" s="23"/>
      <c r="G333" s="23"/>
    </row>
    <row r="334" spans="4:7" x14ac:dyDescent="0.3">
      <c r="D334" s="23"/>
      <c r="G334" s="23"/>
    </row>
    <row r="335" spans="4:7" x14ac:dyDescent="0.3">
      <c r="D335" s="23"/>
      <c r="G335" s="23"/>
    </row>
    <row r="336" spans="4:7" x14ac:dyDescent="0.3">
      <c r="D336" s="23"/>
      <c r="G336" s="23"/>
    </row>
    <row r="337" spans="4:7" x14ac:dyDescent="0.3">
      <c r="D337" s="23"/>
      <c r="G337" s="23"/>
    </row>
    <row r="338" spans="4:7" x14ac:dyDescent="0.3">
      <c r="D338" s="23"/>
      <c r="G338" s="23"/>
    </row>
    <row r="339" spans="4:7" x14ac:dyDescent="0.3">
      <c r="D339" s="23"/>
      <c r="G339" s="23"/>
    </row>
    <row r="340" spans="4:7" x14ac:dyDescent="0.3">
      <c r="D340" s="23"/>
      <c r="G340" s="23"/>
    </row>
    <row r="341" spans="4:7" x14ac:dyDescent="0.3">
      <c r="D341" s="23"/>
      <c r="G341" s="23"/>
    </row>
    <row r="342" spans="4:7" x14ac:dyDescent="0.3">
      <c r="D342" s="23"/>
      <c r="G342" s="23"/>
    </row>
    <row r="343" spans="4:7" x14ac:dyDescent="0.3">
      <c r="D343" s="23"/>
      <c r="G343" s="23"/>
    </row>
    <row r="344" spans="4:7" x14ac:dyDescent="0.3">
      <c r="D344" s="23"/>
      <c r="G344" s="23"/>
    </row>
    <row r="345" spans="4:7" x14ac:dyDescent="0.3">
      <c r="D345" s="23"/>
      <c r="G345" s="23"/>
    </row>
    <row r="346" spans="4:7" x14ac:dyDescent="0.3">
      <c r="D346" s="23"/>
      <c r="G346" s="23"/>
    </row>
    <row r="347" spans="4:7" x14ac:dyDescent="0.3">
      <c r="D347" s="23"/>
      <c r="G347" s="23"/>
    </row>
    <row r="348" spans="4:7" x14ac:dyDescent="0.3">
      <c r="D348" s="23"/>
      <c r="G348" s="23"/>
    </row>
    <row r="349" spans="4:7" x14ac:dyDescent="0.3">
      <c r="D349" s="23"/>
      <c r="G349" s="23"/>
    </row>
    <row r="350" spans="4:7" x14ac:dyDescent="0.3">
      <c r="D350" s="23"/>
      <c r="G350" s="23"/>
    </row>
    <row r="351" spans="4:7" x14ac:dyDescent="0.3">
      <c r="D351" s="23"/>
      <c r="G351" s="23"/>
    </row>
    <row r="352" spans="4:7" x14ac:dyDescent="0.3">
      <c r="D352" s="23"/>
      <c r="G352" s="23"/>
    </row>
    <row r="353" spans="4:7" x14ac:dyDescent="0.3">
      <c r="D353" s="23"/>
      <c r="G353" s="23"/>
    </row>
    <row r="354" spans="4:7" x14ac:dyDescent="0.3">
      <c r="D354" s="23"/>
      <c r="G354" s="23"/>
    </row>
    <row r="355" spans="4:7" x14ac:dyDescent="0.3">
      <c r="D355" s="23"/>
      <c r="G355" s="23"/>
    </row>
    <row r="356" spans="4:7" x14ac:dyDescent="0.3">
      <c r="D356" s="23"/>
      <c r="G356" s="23"/>
    </row>
    <row r="357" spans="4:7" x14ac:dyDescent="0.3">
      <c r="D357" s="23"/>
      <c r="G357" s="23"/>
    </row>
    <row r="358" spans="4:7" x14ac:dyDescent="0.3">
      <c r="D358" s="23"/>
      <c r="G358" s="23"/>
    </row>
    <row r="359" spans="4:7" x14ac:dyDescent="0.3">
      <c r="D359" s="23"/>
      <c r="G359" s="23"/>
    </row>
    <row r="360" spans="4:7" x14ac:dyDescent="0.3">
      <c r="D360" s="23"/>
      <c r="G360" s="23"/>
    </row>
    <row r="361" spans="4:7" x14ac:dyDescent="0.3">
      <c r="D361" s="23"/>
      <c r="G361" s="23"/>
    </row>
    <row r="362" spans="4:7" x14ac:dyDescent="0.3">
      <c r="D362" s="23"/>
      <c r="G362" s="23"/>
    </row>
    <row r="363" spans="4:7" x14ac:dyDescent="0.3">
      <c r="D363" s="23"/>
      <c r="G363" s="23"/>
    </row>
    <row r="364" spans="4:7" x14ac:dyDescent="0.3">
      <c r="D364" s="23"/>
      <c r="G364" s="23"/>
    </row>
    <row r="365" spans="4:7" x14ac:dyDescent="0.3">
      <c r="D365" s="23"/>
      <c r="G365" s="23"/>
    </row>
    <row r="366" spans="4:7" x14ac:dyDescent="0.3">
      <c r="D366" s="23"/>
      <c r="G366" s="23"/>
    </row>
    <row r="367" spans="4:7" x14ac:dyDescent="0.3">
      <c r="D367" s="23"/>
      <c r="G367" s="23"/>
    </row>
    <row r="368" spans="4:7" x14ac:dyDescent="0.3">
      <c r="D368" s="23"/>
      <c r="G368" s="23"/>
    </row>
    <row r="369" spans="4:7" x14ac:dyDescent="0.3">
      <c r="D369" s="23"/>
      <c r="G369" s="23"/>
    </row>
    <row r="370" spans="4:7" x14ac:dyDescent="0.3">
      <c r="D370" s="23"/>
      <c r="G370" s="23"/>
    </row>
    <row r="371" spans="4:7" x14ac:dyDescent="0.3">
      <c r="D371" s="23"/>
      <c r="G371" s="23"/>
    </row>
    <row r="372" spans="4:7" x14ac:dyDescent="0.3">
      <c r="D372" s="23"/>
      <c r="G372" s="23"/>
    </row>
    <row r="373" spans="4:7" x14ac:dyDescent="0.3">
      <c r="D373" s="23"/>
      <c r="G373" s="23"/>
    </row>
    <row r="374" spans="4:7" x14ac:dyDescent="0.3">
      <c r="D374" s="23"/>
      <c r="G374" s="23"/>
    </row>
    <row r="375" spans="4:7" x14ac:dyDescent="0.3">
      <c r="D375" s="23"/>
      <c r="G375" s="23"/>
    </row>
    <row r="376" spans="4:7" x14ac:dyDescent="0.3">
      <c r="D376" s="23"/>
      <c r="G376" s="23"/>
    </row>
    <row r="377" spans="4:7" x14ac:dyDescent="0.3">
      <c r="D377" s="23"/>
      <c r="G377" s="23"/>
    </row>
    <row r="378" spans="4:7" x14ac:dyDescent="0.3">
      <c r="D378" s="23"/>
      <c r="G378" s="23"/>
    </row>
    <row r="379" spans="4:7" x14ac:dyDescent="0.3">
      <c r="D379" s="23"/>
      <c r="G379" s="23"/>
    </row>
    <row r="380" spans="4:7" x14ac:dyDescent="0.3">
      <c r="D380" s="23"/>
      <c r="G380" s="23"/>
    </row>
    <row r="381" spans="4:7" x14ac:dyDescent="0.3">
      <c r="D381" s="23"/>
      <c r="G381" s="23"/>
    </row>
    <row r="382" spans="4:7" x14ac:dyDescent="0.3">
      <c r="D382" s="23"/>
      <c r="G382" s="23"/>
    </row>
    <row r="383" spans="4:7" x14ac:dyDescent="0.3">
      <c r="D383" s="23"/>
      <c r="G383" s="23"/>
    </row>
    <row r="384" spans="4:7" x14ac:dyDescent="0.3">
      <c r="D384" s="23"/>
      <c r="G384" s="23"/>
    </row>
    <row r="385" spans="4:7" x14ac:dyDescent="0.3">
      <c r="D385" s="23"/>
      <c r="G385" s="23"/>
    </row>
    <row r="386" spans="4:7" x14ac:dyDescent="0.3">
      <c r="D386" s="23"/>
      <c r="G386" s="23"/>
    </row>
    <row r="387" spans="4:7" x14ac:dyDescent="0.3">
      <c r="D387" s="23"/>
      <c r="G387" s="23"/>
    </row>
    <row r="388" spans="4:7" x14ac:dyDescent="0.3">
      <c r="D388" s="23"/>
      <c r="G388" s="23"/>
    </row>
    <row r="389" spans="4:7" x14ac:dyDescent="0.3">
      <c r="D389" s="23"/>
      <c r="G389" s="23"/>
    </row>
    <row r="390" spans="4:7" x14ac:dyDescent="0.3">
      <c r="D390" s="23"/>
      <c r="G390" s="23"/>
    </row>
    <row r="391" spans="4:7" x14ac:dyDescent="0.3">
      <c r="D391" s="23"/>
      <c r="G391" s="23"/>
    </row>
    <row r="392" spans="4:7" x14ac:dyDescent="0.3">
      <c r="D392" s="23"/>
      <c r="G392" s="23"/>
    </row>
    <row r="393" spans="4:7" x14ac:dyDescent="0.3">
      <c r="D393" s="23"/>
      <c r="G393" s="23"/>
    </row>
    <row r="394" spans="4:7" x14ac:dyDescent="0.3">
      <c r="D394" s="23"/>
      <c r="G394" s="23"/>
    </row>
    <row r="395" spans="4:7" x14ac:dyDescent="0.3">
      <c r="D395" s="23"/>
      <c r="G395" s="23"/>
    </row>
    <row r="396" spans="4:7" x14ac:dyDescent="0.3">
      <c r="D396" s="23"/>
      <c r="G396" s="23"/>
    </row>
    <row r="397" spans="4:7" x14ac:dyDescent="0.3">
      <c r="D397" s="23"/>
      <c r="G397" s="23"/>
    </row>
    <row r="398" spans="4:7" x14ac:dyDescent="0.3">
      <c r="D398" s="23"/>
      <c r="G398" s="23"/>
    </row>
    <row r="399" spans="4:7" x14ac:dyDescent="0.3">
      <c r="D399" s="23"/>
      <c r="G399" s="23"/>
    </row>
    <row r="400" spans="4:7" x14ac:dyDescent="0.3">
      <c r="D400" s="23"/>
      <c r="G400" s="23"/>
    </row>
    <row r="401" spans="4:7" x14ac:dyDescent="0.3">
      <c r="D401" s="23"/>
      <c r="G401" s="23"/>
    </row>
    <row r="402" spans="4:7" x14ac:dyDescent="0.3">
      <c r="D402" s="23"/>
      <c r="G402" s="23"/>
    </row>
    <row r="403" spans="4:7" x14ac:dyDescent="0.3">
      <c r="D403" s="23"/>
      <c r="G403" s="23"/>
    </row>
    <row r="404" spans="4:7" x14ac:dyDescent="0.3">
      <c r="D404" s="23"/>
      <c r="G404" s="23"/>
    </row>
    <row r="405" spans="4:7" x14ac:dyDescent="0.3">
      <c r="D405" s="23"/>
      <c r="G405" s="23"/>
    </row>
    <row r="406" spans="4:7" x14ac:dyDescent="0.3">
      <c r="D406" s="23"/>
      <c r="G406" s="23"/>
    </row>
    <row r="407" spans="4:7" x14ac:dyDescent="0.3">
      <c r="D407" s="23"/>
      <c r="G407" s="23"/>
    </row>
    <row r="408" spans="4:7" x14ac:dyDescent="0.3">
      <c r="D408" s="23"/>
      <c r="G408" s="23"/>
    </row>
    <row r="409" spans="4:7" x14ac:dyDescent="0.3">
      <c r="D409" s="23"/>
      <c r="G409" s="23"/>
    </row>
    <row r="410" spans="4:7" x14ac:dyDescent="0.3">
      <c r="D410" s="23"/>
      <c r="G410" s="23"/>
    </row>
    <row r="411" spans="4:7" x14ac:dyDescent="0.3">
      <c r="D411" s="23"/>
      <c r="G411" s="23"/>
    </row>
    <row r="412" spans="4:7" x14ac:dyDescent="0.3">
      <c r="D412" s="23"/>
      <c r="G412" s="23"/>
    </row>
    <row r="413" spans="4:7" x14ac:dyDescent="0.3">
      <c r="D413" s="23"/>
      <c r="G413" s="23"/>
    </row>
    <row r="414" spans="4:7" x14ac:dyDescent="0.3">
      <c r="D414" s="23"/>
      <c r="G414" s="23"/>
    </row>
    <row r="415" spans="4:7" x14ac:dyDescent="0.3">
      <c r="D415" s="23"/>
      <c r="G415" s="23"/>
    </row>
    <row r="416" spans="4:7" x14ac:dyDescent="0.3">
      <c r="D416" s="23"/>
      <c r="G416" s="23"/>
    </row>
    <row r="417" spans="4:7" x14ac:dyDescent="0.3">
      <c r="D417" s="23"/>
      <c r="G417" s="23"/>
    </row>
    <row r="418" spans="4:7" x14ac:dyDescent="0.3">
      <c r="D418" s="23"/>
      <c r="G418" s="23"/>
    </row>
    <row r="419" spans="4:7" x14ac:dyDescent="0.3">
      <c r="D419" s="23"/>
      <c r="G419" s="23"/>
    </row>
    <row r="420" spans="4:7" x14ac:dyDescent="0.3">
      <c r="D420" s="23"/>
      <c r="G420" s="23"/>
    </row>
    <row r="421" spans="4:7" x14ac:dyDescent="0.3">
      <c r="D421" s="23"/>
      <c r="G421" s="23"/>
    </row>
    <row r="422" spans="4:7" x14ac:dyDescent="0.3">
      <c r="D422" s="23"/>
      <c r="G422" s="23"/>
    </row>
    <row r="423" spans="4:7" x14ac:dyDescent="0.3">
      <c r="D423" s="23"/>
      <c r="G423" s="23"/>
    </row>
    <row r="424" spans="4:7" x14ac:dyDescent="0.3">
      <c r="D424" s="23"/>
      <c r="G424" s="23"/>
    </row>
    <row r="425" spans="4:7" x14ac:dyDescent="0.3">
      <c r="D425" s="23"/>
      <c r="G425" s="23"/>
    </row>
    <row r="426" spans="4:7" x14ac:dyDescent="0.3">
      <c r="D426" s="23"/>
      <c r="G426" s="23"/>
    </row>
    <row r="427" spans="4:7" x14ac:dyDescent="0.3">
      <c r="D427" s="23"/>
      <c r="G427" s="23"/>
    </row>
    <row r="428" spans="4:7" x14ac:dyDescent="0.3">
      <c r="D428" s="23"/>
      <c r="G428" s="23"/>
    </row>
    <row r="429" spans="4:7" x14ac:dyDescent="0.3">
      <c r="D429" s="23"/>
      <c r="G429" s="23"/>
    </row>
    <row r="430" spans="4:7" x14ac:dyDescent="0.3">
      <c r="D430" s="23"/>
      <c r="G430" s="23"/>
    </row>
    <row r="431" spans="4:7" x14ac:dyDescent="0.3">
      <c r="D431" s="23"/>
      <c r="G431" s="23"/>
    </row>
    <row r="432" spans="4:7" x14ac:dyDescent="0.3">
      <c r="D432" s="23"/>
      <c r="G432" s="23"/>
    </row>
    <row r="433" spans="4:7" x14ac:dyDescent="0.3">
      <c r="D433" s="23"/>
      <c r="G433" s="23"/>
    </row>
    <row r="434" spans="4:7" x14ac:dyDescent="0.3">
      <c r="D434" s="23"/>
      <c r="G434" s="23"/>
    </row>
    <row r="435" spans="4:7" x14ac:dyDescent="0.3">
      <c r="D435" s="23"/>
      <c r="G435" s="23"/>
    </row>
    <row r="436" spans="4:7" x14ac:dyDescent="0.3">
      <c r="D436" s="23"/>
      <c r="G436" s="23"/>
    </row>
    <row r="437" spans="4:7" x14ac:dyDescent="0.3">
      <c r="D437" s="23"/>
      <c r="G437" s="23"/>
    </row>
    <row r="438" spans="4:7" x14ac:dyDescent="0.3">
      <c r="D438" s="23"/>
      <c r="G438" s="23"/>
    </row>
    <row r="439" spans="4:7" x14ac:dyDescent="0.3">
      <c r="D439" s="23"/>
      <c r="G439" s="23"/>
    </row>
    <row r="440" spans="4:7" x14ac:dyDescent="0.3">
      <c r="D440" s="23"/>
      <c r="G440" s="23"/>
    </row>
    <row r="441" spans="4:7" x14ac:dyDescent="0.3">
      <c r="D441" s="23"/>
      <c r="G441" s="23"/>
    </row>
    <row r="442" spans="4:7" x14ac:dyDescent="0.3">
      <c r="D442" s="23"/>
      <c r="G442" s="23"/>
    </row>
    <row r="443" spans="4:7" x14ac:dyDescent="0.3">
      <c r="D443" s="23"/>
      <c r="G443" s="23"/>
    </row>
    <row r="444" spans="4:7" x14ac:dyDescent="0.3">
      <c r="D444" s="23"/>
      <c r="G444" s="23"/>
    </row>
    <row r="445" spans="4:7" x14ac:dyDescent="0.3">
      <c r="D445" s="23"/>
      <c r="G445" s="23"/>
    </row>
    <row r="446" spans="4:7" x14ac:dyDescent="0.3">
      <c r="D446" s="23"/>
      <c r="G446" s="23"/>
    </row>
    <row r="447" spans="4:7" x14ac:dyDescent="0.3">
      <c r="D447" s="23"/>
      <c r="G447" s="23"/>
    </row>
    <row r="448" spans="4:7" x14ac:dyDescent="0.3">
      <c r="D448" s="23"/>
      <c r="G448" s="23"/>
    </row>
    <row r="449" spans="4:7" x14ac:dyDescent="0.3">
      <c r="D449" s="23"/>
      <c r="G449" s="23"/>
    </row>
    <row r="450" spans="4:7" x14ac:dyDescent="0.3">
      <c r="D450" s="23"/>
      <c r="G450" s="23"/>
    </row>
    <row r="451" spans="4:7" x14ac:dyDescent="0.3">
      <c r="D451" s="23"/>
      <c r="G451" s="23"/>
    </row>
    <row r="452" spans="4:7" x14ac:dyDescent="0.3">
      <c r="D452" s="23"/>
      <c r="G452" s="23"/>
    </row>
    <row r="453" spans="4:7" x14ac:dyDescent="0.3">
      <c r="D453" s="23"/>
      <c r="G453" s="23"/>
    </row>
    <row r="454" spans="4:7" x14ac:dyDescent="0.3">
      <c r="D454" s="23"/>
      <c r="G454" s="23"/>
    </row>
    <row r="455" spans="4:7" x14ac:dyDescent="0.3">
      <c r="D455" s="23"/>
      <c r="G455" s="23"/>
    </row>
    <row r="456" spans="4:7" x14ac:dyDescent="0.3">
      <c r="D456" s="23"/>
      <c r="G456" s="23"/>
    </row>
    <row r="457" spans="4:7" x14ac:dyDescent="0.3">
      <c r="D457" s="23"/>
      <c r="G457" s="23"/>
    </row>
    <row r="458" spans="4:7" x14ac:dyDescent="0.3">
      <c r="D458" s="23"/>
      <c r="G458" s="23"/>
    </row>
    <row r="459" spans="4:7" x14ac:dyDescent="0.3">
      <c r="D459" s="23"/>
      <c r="G459" s="23"/>
    </row>
    <row r="460" spans="4:7" x14ac:dyDescent="0.3">
      <c r="D460" s="23"/>
      <c r="G460" s="23"/>
    </row>
    <row r="461" spans="4:7" x14ac:dyDescent="0.3">
      <c r="D461" s="23"/>
      <c r="G461" s="23"/>
    </row>
    <row r="462" spans="4:7" x14ac:dyDescent="0.3">
      <c r="D462" s="23"/>
      <c r="G462" s="23"/>
    </row>
    <row r="463" spans="4:7" x14ac:dyDescent="0.3">
      <c r="D463" s="23"/>
      <c r="G463" s="23"/>
    </row>
    <row r="464" spans="4:7" x14ac:dyDescent="0.3">
      <c r="D464" s="23"/>
      <c r="G464" s="23"/>
    </row>
    <row r="465" spans="4:7" x14ac:dyDescent="0.3">
      <c r="D465" s="23"/>
      <c r="G465" s="23"/>
    </row>
    <row r="466" spans="4:7" x14ac:dyDescent="0.3">
      <c r="D466" s="23"/>
      <c r="G466" s="23"/>
    </row>
    <row r="467" spans="4:7" x14ac:dyDescent="0.3">
      <c r="D467" s="23"/>
      <c r="G467" s="23"/>
    </row>
    <row r="468" spans="4:7" x14ac:dyDescent="0.3">
      <c r="D468" s="23"/>
      <c r="G468" s="23"/>
    </row>
    <row r="469" spans="4:7" x14ac:dyDescent="0.3">
      <c r="D469" s="23"/>
      <c r="G469" s="23"/>
    </row>
    <row r="470" spans="4:7" x14ac:dyDescent="0.3">
      <c r="D470" s="23"/>
      <c r="G470" s="23"/>
    </row>
    <row r="471" spans="4:7" x14ac:dyDescent="0.3">
      <c r="D471" s="23"/>
      <c r="G471" s="23"/>
    </row>
    <row r="472" spans="4:7" x14ac:dyDescent="0.3">
      <c r="D472" s="23"/>
      <c r="G472" s="23"/>
    </row>
    <row r="473" spans="4:7" x14ac:dyDescent="0.3">
      <c r="D473" s="23"/>
      <c r="G473" s="23"/>
    </row>
    <row r="474" spans="4:7" x14ac:dyDescent="0.3">
      <c r="D474" s="23"/>
      <c r="G474" s="23"/>
    </row>
    <row r="475" spans="4:7" x14ac:dyDescent="0.3">
      <c r="D475" s="23"/>
      <c r="G475" s="23"/>
    </row>
    <row r="476" spans="4:7" x14ac:dyDescent="0.3">
      <c r="D476" s="23"/>
      <c r="G476" s="23"/>
    </row>
    <row r="477" spans="4:7" x14ac:dyDescent="0.3">
      <c r="D477" s="23"/>
      <c r="G477" s="23"/>
    </row>
    <row r="478" spans="4:7" x14ac:dyDescent="0.3">
      <c r="D478" s="23"/>
      <c r="G478" s="23"/>
    </row>
    <row r="479" spans="4:7" x14ac:dyDescent="0.3">
      <c r="D479" s="23"/>
      <c r="G479" s="23"/>
    </row>
    <row r="480" spans="4:7" x14ac:dyDescent="0.3">
      <c r="D480" s="23"/>
      <c r="G480" s="23"/>
    </row>
    <row r="481" spans="4:7" x14ac:dyDescent="0.3">
      <c r="D481" s="23"/>
      <c r="G481" s="23"/>
    </row>
    <row r="482" spans="4:7" x14ac:dyDescent="0.3">
      <c r="D482" s="23"/>
      <c r="G482" s="23"/>
    </row>
    <row r="483" spans="4:7" x14ac:dyDescent="0.3">
      <c r="D483" s="23"/>
      <c r="G483" s="23"/>
    </row>
    <row r="484" spans="4:7" x14ac:dyDescent="0.3">
      <c r="D484" s="23"/>
      <c r="G484" s="23"/>
    </row>
    <row r="485" spans="4:7" x14ac:dyDescent="0.3">
      <c r="D485" s="23"/>
      <c r="G485" s="23"/>
    </row>
    <row r="486" spans="4:7" x14ac:dyDescent="0.3">
      <c r="D486" s="23"/>
      <c r="G486" s="23"/>
    </row>
    <row r="487" spans="4:7" x14ac:dyDescent="0.3">
      <c r="D487" s="23"/>
      <c r="G487" s="23"/>
    </row>
    <row r="488" spans="4:7" x14ac:dyDescent="0.3">
      <c r="D488" s="23"/>
      <c r="G488" s="23"/>
    </row>
    <row r="489" spans="4:7" x14ac:dyDescent="0.3">
      <c r="D489" s="23"/>
      <c r="G489" s="23"/>
    </row>
    <row r="490" spans="4:7" x14ac:dyDescent="0.3">
      <c r="D490" s="23"/>
      <c r="G490" s="23"/>
    </row>
    <row r="491" spans="4:7" x14ac:dyDescent="0.3">
      <c r="D491" s="23"/>
      <c r="G491" s="23"/>
    </row>
    <row r="492" spans="4:7" x14ac:dyDescent="0.3">
      <c r="D492" s="23"/>
      <c r="G492" s="23"/>
    </row>
    <row r="493" spans="4:7" x14ac:dyDescent="0.3">
      <c r="D493" s="23"/>
      <c r="G493" s="23"/>
    </row>
    <row r="494" spans="4:7" x14ac:dyDescent="0.3">
      <c r="D494" s="23"/>
      <c r="G494" s="23"/>
    </row>
    <row r="495" spans="4:7" x14ac:dyDescent="0.3">
      <c r="D495" s="23"/>
      <c r="G495" s="23"/>
    </row>
    <row r="496" spans="4:7" x14ac:dyDescent="0.3">
      <c r="D496" s="23"/>
      <c r="G496" s="23"/>
    </row>
    <row r="497" spans="4:7" x14ac:dyDescent="0.3">
      <c r="D497" s="23"/>
      <c r="G497" s="23"/>
    </row>
    <row r="498" spans="4:7" x14ac:dyDescent="0.3">
      <c r="D498" s="23"/>
      <c r="G498" s="23"/>
    </row>
    <row r="499" spans="4:7" x14ac:dyDescent="0.3">
      <c r="D499" s="23"/>
      <c r="G499" s="23"/>
    </row>
    <row r="500" spans="4:7" x14ac:dyDescent="0.3">
      <c r="D500" s="23"/>
      <c r="G500" s="23"/>
    </row>
    <row r="501" spans="4:7" x14ac:dyDescent="0.3">
      <c r="D501" s="23"/>
      <c r="G501" s="23"/>
    </row>
    <row r="502" spans="4:7" x14ac:dyDescent="0.3">
      <c r="D502" s="23"/>
      <c r="G502" s="23"/>
    </row>
    <row r="503" spans="4:7" x14ac:dyDescent="0.3">
      <c r="D503" s="23"/>
      <c r="G503" s="23"/>
    </row>
    <row r="504" spans="4:7" x14ac:dyDescent="0.3">
      <c r="D504" s="23"/>
      <c r="G504" s="23"/>
    </row>
    <row r="505" spans="4:7" x14ac:dyDescent="0.3">
      <c r="D505" s="23"/>
      <c r="G505" s="23"/>
    </row>
    <row r="506" spans="4:7" x14ac:dyDescent="0.3">
      <c r="D506" s="23"/>
      <c r="G506" s="23"/>
    </row>
    <row r="507" spans="4:7" x14ac:dyDescent="0.3">
      <c r="D507" s="23"/>
      <c r="G507" s="23"/>
    </row>
    <row r="508" spans="4:7" x14ac:dyDescent="0.3">
      <c r="D508" s="23"/>
      <c r="G508" s="23"/>
    </row>
    <row r="509" spans="4:7" x14ac:dyDescent="0.3">
      <c r="D509" s="23"/>
      <c r="G509" s="23"/>
    </row>
    <row r="510" spans="4:7" x14ac:dyDescent="0.3">
      <c r="D510" s="23"/>
      <c r="G510" s="23"/>
    </row>
    <row r="511" spans="4:7" x14ac:dyDescent="0.3">
      <c r="D511" s="23"/>
      <c r="G511" s="23"/>
    </row>
    <row r="512" spans="4:7" x14ac:dyDescent="0.3">
      <c r="D512" s="23"/>
      <c r="G512" s="23"/>
    </row>
    <row r="513" spans="4:7" x14ac:dyDescent="0.3">
      <c r="D513" s="23"/>
      <c r="G513" s="23"/>
    </row>
    <row r="514" spans="4:7" x14ac:dyDescent="0.3">
      <c r="D514" s="23"/>
      <c r="G514" s="23"/>
    </row>
    <row r="515" spans="4:7" x14ac:dyDescent="0.3">
      <c r="D515" s="23"/>
      <c r="G515" s="23"/>
    </row>
    <row r="516" spans="4:7" x14ac:dyDescent="0.3">
      <c r="D516" s="23"/>
      <c r="G516" s="23"/>
    </row>
    <row r="517" spans="4:7" x14ac:dyDescent="0.3">
      <c r="D517" s="23"/>
      <c r="G517" s="23"/>
    </row>
    <row r="518" spans="4:7" x14ac:dyDescent="0.3">
      <c r="D518" s="23"/>
      <c r="G518" s="23"/>
    </row>
    <row r="519" spans="4:7" x14ac:dyDescent="0.3">
      <c r="D519" s="23"/>
      <c r="G519" s="23"/>
    </row>
    <row r="520" spans="4:7" x14ac:dyDescent="0.3">
      <c r="D520" s="23"/>
      <c r="G520" s="23"/>
    </row>
    <row r="521" spans="4:7" x14ac:dyDescent="0.3">
      <c r="D521" s="23"/>
      <c r="G521" s="23"/>
    </row>
    <row r="522" spans="4:7" x14ac:dyDescent="0.3">
      <c r="D522" s="23"/>
      <c r="G522" s="23"/>
    </row>
    <row r="523" spans="4:7" x14ac:dyDescent="0.3">
      <c r="D523" s="23"/>
      <c r="G523" s="23"/>
    </row>
    <row r="524" spans="4:7" x14ac:dyDescent="0.3">
      <c r="D524" s="23"/>
      <c r="G524" s="23"/>
    </row>
    <row r="525" spans="4:7" x14ac:dyDescent="0.3">
      <c r="D525" s="23"/>
      <c r="G525" s="23"/>
    </row>
    <row r="526" spans="4:7" x14ac:dyDescent="0.3">
      <c r="D526" s="23"/>
      <c r="G526" s="23"/>
    </row>
    <row r="527" spans="4:7" x14ac:dyDescent="0.3">
      <c r="D527" s="23"/>
      <c r="G527" s="23"/>
    </row>
    <row r="528" spans="4:7" x14ac:dyDescent="0.3">
      <c r="D528" s="23"/>
      <c r="G528" s="23"/>
    </row>
    <row r="529" spans="4:7" x14ac:dyDescent="0.3">
      <c r="D529" s="23"/>
      <c r="G529" s="23"/>
    </row>
    <row r="530" spans="4:7" x14ac:dyDescent="0.3">
      <c r="D530" s="23"/>
      <c r="G530" s="23"/>
    </row>
    <row r="531" spans="4:7" x14ac:dyDescent="0.3">
      <c r="D531" s="23"/>
      <c r="G531" s="23"/>
    </row>
    <row r="532" spans="4:7" x14ac:dyDescent="0.3">
      <c r="D532" s="23"/>
      <c r="G532" s="23"/>
    </row>
    <row r="533" spans="4:7" x14ac:dyDescent="0.3">
      <c r="D533" s="23"/>
      <c r="G533" s="23"/>
    </row>
    <row r="534" spans="4:7" x14ac:dyDescent="0.3">
      <c r="D534" s="23"/>
      <c r="G534" s="23"/>
    </row>
    <row r="535" spans="4:7" x14ac:dyDescent="0.3">
      <c r="D535" s="23"/>
      <c r="G535" s="23"/>
    </row>
    <row r="536" spans="4:7" x14ac:dyDescent="0.3">
      <c r="D536" s="23"/>
      <c r="G536" s="23"/>
    </row>
    <row r="537" spans="4:7" x14ac:dyDescent="0.3">
      <c r="D537" s="23"/>
      <c r="G537" s="23"/>
    </row>
    <row r="538" spans="4:7" x14ac:dyDescent="0.3">
      <c r="D538" s="23"/>
      <c r="G538" s="23"/>
    </row>
    <row r="539" spans="4:7" x14ac:dyDescent="0.3">
      <c r="D539" s="23"/>
      <c r="G539" s="23"/>
    </row>
    <row r="540" spans="4:7" x14ac:dyDescent="0.3">
      <c r="D540" s="23"/>
      <c r="G540" s="23"/>
    </row>
    <row r="541" spans="4:7" x14ac:dyDescent="0.3">
      <c r="D541" s="23"/>
      <c r="G541" s="23"/>
    </row>
    <row r="542" spans="4:7" x14ac:dyDescent="0.3">
      <c r="D542" s="23"/>
      <c r="G542" s="23"/>
    </row>
    <row r="543" spans="4:7" x14ac:dyDescent="0.3">
      <c r="D543" s="23"/>
      <c r="G543" s="23"/>
    </row>
    <row r="544" spans="4:7" x14ac:dyDescent="0.3">
      <c r="D544" s="23"/>
      <c r="G544" s="23"/>
    </row>
    <row r="545" spans="4:7" x14ac:dyDescent="0.3">
      <c r="D545" s="23"/>
      <c r="G545" s="23"/>
    </row>
    <row r="546" spans="4:7" x14ac:dyDescent="0.3">
      <c r="D546" s="23"/>
      <c r="G546" s="23"/>
    </row>
    <row r="547" spans="4:7" x14ac:dyDescent="0.3">
      <c r="D547" s="23"/>
      <c r="G547" s="23"/>
    </row>
    <row r="548" spans="4:7" x14ac:dyDescent="0.3">
      <c r="D548" s="23"/>
      <c r="G548" s="23"/>
    </row>
    <row r="549" spans="4:7" x14ac:dyDescent="0.3">
      <c r="D549" s="23"/>
      <c r="G549" s="23"/>
    </row>
    <row r="550" spans="4:7" x14ac:dyDescent="0.3">
      <c r="D550" s="23"/>
      <c r="G550" s="23"/>
    </row>
    <row r="551" spans="4:7" x14ac:dyDescent="0.3">
      <c r="D551" s="23"/>
      <c r="G551" s="23"/>
    </row>
    <row r="552" spans="4:7" x14ac:dyDescent="0.3">
      <c r="D552" s="23"/>
      <c r="G552" s="23"/>
    </row>
    <row r="553" spans="4:7" x14ac:dyDescent="0.3">
      <c r="D553" s="23"/>
      <c r="G553" s="23"/>
    </row>
    <row r="554" spans="4:7" x14ac:dyDescent="0.3">
      <c r="D554" s="23"/>
      <c r="G554" s="23"/>
    </row>
    <row r="555" spans="4:7" x14ac:dyDescent="0.3">
      <c r="D555" s="23"/>
      <c r="G555" s="23"/>
    </row>
    <row r="556" spans="4:7" x14ac:dyDescent="0.3">
      <c r="D556" s="23"/>
      <c r="G556" s="23"/>
    </row>
    <row r="557" spans="4:7" x14ac:dyDescent="0.3">
      <c r="D557" s="23"/>
      <c r="G557" s="23"/>
    </row>
    <row r="558" spans="4:7" x14ac:dyDescent="0.3">
      <c r="D558" s="23"/>
      <c r="G558" s="23"/>
    </row>
    <row r="559" spans="4:7" x14ac:dyDescent="0.3">
      <c r="D559" s="23"/>
      <c r="G559" s="23"/>
    </row>
    <row r="560" spans="4:7" x14ac:dyDescent="0.3">
      <c r="D560" s="23"/>
      <c r="G560" s="23"/>
    </row>
    <row r="561" spans="4:7" x14ac:dyDescent="0.3">
      <c r="D561" s="23"/>
      <c r="G561" s="23"/>
    </row>
    <row r="562" spans="4:7" x14ac:dyDescent="0.3">
      <c r="D562" s="23"/>
      <c r="G562" s="23"/>
    </row>
    <row r="563" spans="4:7" x14ac:dyDescent="0.3">
      <c r="D563" s="23"/>
      <c r="G563" s="23"/>
    </row>
    <row r="564" spans="4:7" x14ac:dyDescent="0.3">
      <c r="D564" s="23"/>
      <c r="G564" s="23"/>
    </row>
    <row r="565" spans="4:7" x14ac:dyDescent="0.3">
      <c r="D565" s="23"/>
      <c r="G565" s="23"/>
    </row>
    <row r="566" spans="4:7" x14ac:dyDescent="0.3">
      <c r="D566" s="23"/>
      <c r="G566" s="23"/>
    </row>
    <row r="567" spans="4:7" x14ac:dyDescent="0.3">
      <c r="D567" s="23"/>
      <c r="G567" s="23"/>
    </row>
    <row r="568" spans="4:7" x14ac:dyDescent="0.3">
      <c r="D568" s="23"/>
      <c r="G568" s="23"/>
    </row>
    <row r="569" spans="4:7" x14ac:dyDescent="0.3">
      <c r="D569" s="23"/>
      <c r="G569" s="23"/>
    </row>
    <row r="570" spans="4:7" x14ac:dyDescent="0.3">
      <c r="D570" s="23"/>
      <c r="G570" s="23"/>
    </row>
    <row r="571" spans="4:7" x14ac:dyDescent="0.3">
      <c r="D571" s="23"/>
      <c r="G571" s="23"/>
    </row>
    <row r="572" spans="4:7" x14ac:dyDescent="0.3">
      <c r="D572" s="23"/>
      <c r="G572" s="23"/>
    </row>
    <row r="573" spans="4:7" x14ac:dyDescent="0.3">
      <c r="D573" s="23"/>
      <c r="G573" s="23"/>
    </row>
    <row r="574" spans="4:7" x14ac:dyDescent="0.3">
      <c r="D574" s="23"/>
      <c r="G574" s="23"/>
    </row>
    <row r="575" spans="4:7" x14ac:dyDescent="0.3">
      <c r="D575" s="23"/>
      <c r="G575" s="23"/>
    </row>
    <row r="576" spans="4:7" x14ac:dyDescent="0.3">
      <c r="D576" s="23"/>
      <c r="G576" s="23"/>
    </row>
    <row r="577" spans="4:7" x14ac:dyDescent="0.3">
      <c r="D577" s="23"/>
      <c r="G577" s="23"/>
    </row>
    <row r="578" spans="4:7" x14ac:dyDescent="0.3">
      <c r="D578" s="23"/>
      <c r="G578" s="23"/>
    </row>
    <row r="579" spans="4:7" x14ac:dyDescent="0.3">
      <c r="D579" s="23"/>
      <c r="G579" s="23"/>
    </row>
    <row r="580" spans="4:7" x14ac:dyDescent="0.3">
      <c r="D580" s="23"/>
      <c r="G580" s="23"/>
    </row>
    <row r="581" spans="4:7" x14ac:dyDescent="0.3">
      <c r="D581" s="23"/>
      <c r="G581" s="23"/>
    </row>
    <row r="582" spans="4:7" x14ac:dyDescent="0.3">
      <c r="D582" s="23"/>
      <c r="G582" s="23"/>
    </row>
    <row r="583" spans="4:7" x14ac:dyDescent="0.3">
      <c r="D583" s="23"/>
      <c r="G583" s="23"/>
    </row>
    <row r="584" spans="4:7" x14ac:dyDescent="0.3">
      <c r="D584" s="23"/>
      <c r="G584" s="23"/>
    </row>
    <row r="585" spans="4:7" x14ac:dyDescent="0.3">
      <c r="D585" s="23"/>
      <c r="G585" s="23"/>
    </row>
    <row r="586" spans="4:7" x14ac:dyDescent="0.3">
      <c r="D586" s="23"/>
      <c r="G586" s="23"/>
    </row>
    <row r="587" spans="4:7" x14ac:dyDescent="0.3">
      <c r="D587" s="23"/>
      <c r="G587" s="23"/>
    </row>
    <row r="588" spans="4:7" x14ac:dyDescent="0.3">
      <c r="D588" s="23"/>
      <c r="G588" s="23"/>
    </row>
    <row r="589" spans="4:7" x14ac:dyDescent="0.3">
      <c r="D589" s="23"/>
      <c r="G589" s="23"/>
    </row>
    <row r="590" spans="4:7" x14ac:dyDescent="0.3">
      <c r="D590" s="23"/>
      <c r="G590" s="23"/>
    </row>
    <row r="591" spans="4:7" x14ac:dyDescent="0.3">
      <c r="D591" s="23"/>
      <c r="G591" s="23"/>
    </row>
    <row r="592" spans="4:7" x14ac:dyDescent="0.3">
      <c r="D592" s="23"/>
      <c r="G592" s="23"/>
    </row>
    <row r="593" spans="4:7" x14ac:dyDescent="0.3">
      <c r="D593" s="23"/>
      <c r="G593" s="23"/>
    </row>
    <row r="594" spans="4:7" x14ac:dyDescent="0.3">
      <c r="D594" s="23"/>
      <c r="G594" s="23"/>
    </row>
    <row r="595" spans="4:7" x14ac:dyDescent="0.3">
      <c r="D595" s="23"/>
      <c r="G595" s="23"/>
    </row>
    <row r="596" spans="4:7" x14ac:dyDescent="0.3">
      <c r="D596" s="23"/>
      <c r="G596" s="23"/>
    </row>
    <row r="597" spans="4:7" x14ac:dyDescent="0.3">
      <c r="D597" s="23"/>
      <c r="G597" s="23"/>
    </row>
    <row r="598" spans="4:7" x14ac:dyDescent="0.3">
      <c r="D598" s="23"/>
      <c r="G598" s="23"/>
    </row>
    <row r="599" spans="4:7" x14ac:dyDescent="0.3">
      <c r="D599" s="23"/>
      <c r="G599" s="23"/>
    </row>
    <row r="600" spans="4:7" x14ac:dyDescent="0.3">
      <c r="D600" s="23"/>
      <c r="G600" s="23"/>
    </row>
    <row r="601" spans="4:7" x14ac:dyDescent="0.3">
      <c r="D601" s="23"/>
      <c r="G601" s="23"/>
    </row>
    <row r="602" spans="4:7" x14ac:dyDescent="0.3">
      <c r="D602" s="23"/>
      <c r="G602" s="23"/>
    </row>
    <row r="603" spans="4:7" x14ac:dyDescent="0.3">
      <c r="D603" s="23"/>
      <c r="G603" s="23"/>
    </row>
    <row r="604" spans="4:7" x14ac:dyDescent="0.3">
      <c r="D604" s="23"/>
      <c r="G604" s="23"/>
    </row>
    <row r="605" spans="4:7" x14ac:dyDescent="0.3">
      <c r="D605" s="23"/>
      <c r="G605" s="23"/>
    </row>
    <row r="606" spans="4:7" x14ac:dyDescent="0.3">
      <c r="D606" s="23"/>
      <c r="G606" s="23"/>
    </row>
    <row r="607" spans="4:7" x14ac:dyDescent="0.3">
      <c r="D607" s="23"/>
      <c r="G607" s="23"/>
    </row>
    <row r="608" spans="4:7" x14ac:dyDescent="0.3">
      <c r="D608" s="23"/>
      <c r="G608" s="23"/>
    </row>
    <row r="609" spans="4:7" x14ac:dyDescent="0.3">
      <c r="D609" s="23"/>
      <c r="G609" s="23"/>
    </row>
    <row r="610" spans="4:7" x14ac:dyDescent="0.3">
      <c r="D610" s="23"/>
      <c r="G610" s="23"/>
    </row>
    <row r="611" spans="4:7" x14ac:dyDescent="0.3">
      <c r="D611" s="23"/>
      <c r="G611" s="23"/>
    </row>
    <row r="612" spans="4:7" x14ac:dyDescent="0.3">
      <c r="D612" s="23"/>
      <c r="G612" s="23"/>
    </row>
    <row r="613" spans="4:7" x14ac:dyDescent="0.3">
      <c r="D613" s="23"/>
      <c r="G613" s="23"/>
    </row>
    <row r="614" spans="4:7" x14ac:dyDescent="0.3">
      <c r="D614" s="23"/>
      <c r="G614" s="23"/>
    </row>
    <row r="615" spans="4:7" x14ac:dyDescent="0.3">
      <c r="D615" s="23"/>
      <c r="G615" s="23"/>
    </row>
    <row r="616" spans="4:7" x14ac:dyDescent="0.3">
      <c r="D616" s="23"/>
      <c r="G616" s="23"/>
    </row>
    <row r="617" spans="4:7" x14ac:dyDescent="0.3">
      <c r="D617" s="23"/>
      <c r="G617" s="23"/>
    </row>
    <row r="618" spans="4:7" x14ac:dyDescent="0.3">
      <c r="D618" s="23"/>
      <c r="G618" s="23"/>
    </row>
    <row r="619" spans="4:7" x14ac:dyDescent="0.3">
      <c r="D619" s="23"/>
      <c r="G619" s="23"/>
    </row>
    <row r="620" spans="4:7" x14ac:dyDescent="0.3">
      <c r="D620" s="23"/>
      <c r="G620" s="23"/>
    </row>
    <row r="621" spans="4:7" x14ac:dyDescent="0.3">
      <c r="D621" s="23"/>
      <c r="G621" s="23"/>
    </row>
    <row r="622" spans="4:7" x14ac:dyDescent="0.3">
      <c r="D622" s="23"/>
      <c r="G622" s="23"/>
    </row>
    <row r="623" spans="4:7" x14ac:dyDescent="0.3">
      <c r="D623" s="23"/>
      <c r="G623" s="23"/>
    </row>
    <row r="624" spans="4:7" x14ac:dyDescent="0.3">
      <c r="D624" s="23"/>
      <c r="G624" s="23"/>
    </row>
    <row r="625" spans="4:7" x14ac:dyDescent="0.3">
      <c r="D625" s="23"/>
      <c r="G625" s="23"/>
    </row>
    <row r="626" spans="4:7" x14ac:dyDescent="0.3">
      <c r="D626" s="23"/>
      <c r="G626" s="23"/>
    </row>
    <row r="627" spans="4:7" x14ac:dyDescent="0.3">
      <c r="D627" s="23"/>
      <c r="G627" s="23"/>
    </row>
    <row r="628" spans="4:7" x14ac:dyDescent="0.3">
      <c r="D628" s="23"/>
      <c r="G628" s="23"/>
    </row>
    <row r="629" spans="4:7" x14ac:dyDescent="0.3">
      <c r="D629" s="23"/>
      <c r="G629" s="23"/>
    </row>
    <row r="630" spans="4:7" x14ac:dyDescent="0.3">
      <c r="D630" s="23"/>
      <c r="G630" s="23"/>
    </row>
    <row r="631" spans="4:7" x14ac:dyDescent="0.3">
      <c r="D631" s="23"/>
      <c r="G631" s="23"/>
    </row>
    <row r="632" spans="4:7" x14ac:dyDescent="0.3">
      <c r="D632" s="23"/>
      <c r="G632" s="23"/>
    </row>
    <row r="633" spans="4:7" x14ac:dyDescent="0.3">
      <c r="D633" s="23"/>
      <c r="G633" s="23"/>
    </row>
    <row r="634" spans="4:7" x14ac:dyDescent="0.3">
      <c r="D634" s="23"/>
      <c r="G634" s="23"/>
    </row>
    <row r="635" spans="4:7" x14ac:dyDescent="0.3">
      <c r="D635" s="23"/>
      <c r="G635" s="23"/>
    </row>
    <row r="636" spans="4:7" x14ac:dyDescent="0.3">
      <c r="D636" s="23"/>
      <c r="G636" s="23"/>
    </row>
    <row r="637" spans="4:7" x14ac:dyDescent="0.3">
      <c r="D637" s="23"/>
      <c r="G637" s="23"/>
    </row>
    <row r="638" spans="4:7" x14ac:dyDescent="0.3">
      <c r="D638" s="23"/>
      <c r="G638" s="23"/>
    </row>
    <row r="639" spans="4:7" x14ac:dyDescent="0.3">
      <c r="D639" s="23"/>
      <c r="G639" s="23"/>
    </row>
    <row r="640" spans="4:7" x14ac:dyDescent="0.3">
      <c r="D640" s="23"/>
      <c r="G640" s="23"/>
    </row>
    <row r="641" spans="4:7" x14ac:dyDescent="0.3">
      <c r="D641" s="23"/>
      <c r="G641" s="23"/>
    </row>
    <row r="642" spans="4:7" x14ac:dyDescent="0.3">
      <c r="D642" s="23"/>
      <c r="G642" s="23"/>
    </row>
    <row r="643" spans="4:7" x14ac:dyDescent="0.3">
      <c r="D643" s="23"/>
      <c r="G643" s="23"/>
    </row>
    <row r="644" spans="4:7" x14ac:dyDescent="0.3">
      <c r="D644" s="23"/>
      <c r="G644" s="23"/>
    </row>
    <row r="645" spans="4:7" x14ac:dyDescent="0.3">
      <c r="D645" s="23"/>
      <c r="G645" s="23"/>
    </row>
    <row r="646" spans="4:7" x14ac:dyDescent="0.3">
      <c r="D646" s="23"/>
      <c r="G646" s="23"/>
    </row>
    <row r="647" spans="4:7" x14ac:dyDescent="0.3">
      <c r="D647" s="23"/>
      <c r="G647" s="23"/>
    </row>
    <row r="648" spans="4:7" x14ac:dyDescent="0.3">
      <c r="D648" s="23"/>
      <c r="G648" s="23"/>
    </row>
    <row r="649" spans="4:7" x14ac:dyDescent="0.3">
      <c r="D649" s="23"/>
      <c r="G649" s="23"/>
    </row>
    <row r="650" spans="4:7" x14ac:dyDescent="0.3">
      <c r="D650" s="23"/>
      <c r="G650" s="23"/>
    </row>
    <row r="651" spans="4:7" x14ac:dyDescent="0.3">
      <c r="D651" s="23"/>
      <c r="G651" s="23"/>
    </row>
    <row r="652" spans="4:7" x14ac:dyDescent="0.3">
      <c r="D652" s="23"/>
      <c r="G652" s="23"/>
    </row>
    <row r="653" spans="4:7" x14ac:dyDescent="0.3">
      <c r="D653" s="23"/>
      <c r="G653" s="23"/>
    </row>
    <row r="654" spans="4:7" x14ac:dyDescent="0.3">
      <c r="D654" s="23"/>
      <c r="G654" s="23"/>
    </row>
    <row r="655" spans="4:7" x14ac:dyDescent="0.3">
      <c r="D655" s="23"/>
      <c r="G655" s="23"/>
    </row>
    <row r="656" spans="4:7" x14ac:dyDescent="0.3">
      <c r="D656" s="23"/>
      <c r="G656" s="23"/>
    </row>
    <row r="657" spans="4:7" x14ac:dyDescent="0.3">
      <c r="D657" s="23"/>
      <c r="G657" s="23"/>
    </row>
    <row r="658" spans="4:7" x14ac:dyDescent="0.3">
      <c r="D658" s="23"/>
      <c r="G658" s="23"/>
    </row>
    <row r="659" spans="4:7" x14ac:dyDescent="0.3">
      <c r="D659" s="23"/>
      <c r="G659" s="23"/>
    </row>
    <row r="660" spans="4:7" x14ac:dyDescent="0.3">
      <c r="D660" s="23"/>
      <c r="G660" s="23"/>
    </row>
    <row r="661" spans="4:7" x14ac:dyDescent="0.3">
      <c r="D661" s="23"/>
      <c r="G661" s="23"/>
    </row>
    <row r="662" spans="4:7" x14ac:dyDescent="0.3">
      <c r="D662" s="23"/>
      <c r="G662" s="23"/>
    </row>
    <row r="663" spans="4:7" x14ac:dyDescent="0.3">
      <c r="D663" s="23"/>
      <c r="G663" s="23"/>
    </row>
    <row r="664" spans="4:7" x14ac:dyDescent="0.3">
      <c r="D664" s="23"/>
      <c r="G664" s="23"/>
    </row>
    <row r="665" spans="4:7" x14ac:dyDescent="0.3">
      <c r="D665" s="23"/>
      <c r="G665" s="23"/>
    </row>
    <row r="666" spans="4:7" x14ac:dyDescent="0.3">
      <c r="D666" s="23"/>
      <c r="G666" s="23"/>
    </row>
    <row r="667" spans="4:7" x14ac:dyDescent="0.3">
      <c r="D667" s="23"/>
      <c r="G667" s="23"/>
    </row>
    <row r="668" spans="4:7" x14ac:dyDescent="0.3">
      <c r="D668" s="23"/>
      <c r="G668" s="23"/>
    </row>
    <row r="669" spans="4:7" x14ac:dyDescent="0.3">
      <c r="D669" s="23"/>
      <c r="G669" s="23"/>
    </row>
    <row r="670" spans="4:7" x14ac:dyDescent="0.3">
      <c r="D670" s="23"/>
      <c r="G670" s="23"/>
    </row>
    <row r="671" spans="4:7" x14ac:dyDescent="0.3">
      <c r="D671" s="23"/>
      <c r="G671" s="23"/>
    </row>
    <row r="672" spans="4:7" x14ac:dyDescent="0.3">
      <c r="D672" s="23"/>
      <c r="G672" s="23"/>
    </row>
    <row r="673" spans="4:7" x14ac:dyDescent="0.3">
      <c r="D673" s="23"/>
      <c r="G673" s="23"/>
    </row>
    <row r="674" spans="4:7" x14ac:dyDescent="0.3">
      <c r="D674" s="23"/>
      <c r="G674" s="23"/>
    </row>
    <row r="675" spans="4:7" x14ac:dyDescent="0.3">
      <c r="D675" s="23"/>
      <c r="G675" s="23"/>
    </row>
    <row r="676" spans="4:7" x14ac:dyDescent="0.3">
      <c r="D676" s="23"/>
      <c r="G676" s="23"/>
    </row>
    <row r="677" spans="4:7" x14ac:dyDescent="0.3">
      <c r="D677" s="23"/>
      <c r="G677" s="23"/>
    </row>
    <row r="678" spans="4:7" x14ac:dyDescent="0.3">
      <c r="D678" s="23"/>
      <c r="G678" s="23"/>
    </row>
    <row r="679" spans="4:7" x14ac:dyDescent="0.3">
      <c r="D679" s="23"/>
      <c r="G679" s="23"/>
    </row>
    <row r="680" spans="4:7" x14ac:dyDescent="0.3">
      <c r="D680" s="23"/>
      <c r="G680" s="23"/>
    </row>
    <row r="681" spans="4:7" x14ac:dyDescent="0.3">
      <c r="D681" s="23"/>
      <c r="G681" s="23"/>
    </row>
    <row r="682" spans="4:7" x14ac:dyDescent="0.3">
      <c r="D682" s="23"/>
      <c r="G682" s="23"/>
    </row>
    <row r="683" spans="4:7" x14ac:dyDescent="0.3">
      <c r="D683" s="23"/>
      <c r="G683" s="23"/>
    </row>
    <row r="684" spans="4:7" x14ac:dyDescent="0.3">
      <c r="D684" s="23"/>
      <c r="G684" s="23"/>
    </row>
    <row r="685" spans="4:7" x14ac:dyDescent="0.3">
      <c r="D685" s="23"/>
      <c r="G685" s="23"/>
    </row>
    <row r="686" spans="4:7" x14ac:dyDescent="0.3">
      <c r="D686" s="23"/>
      <c r="G686" s="23"/>
    </row>
    <row r="687" spans="4:7" x14ac:dyDescent="0.3">
      <c r="D687" s="23"/>
      <c r="G687" s="23"/>
    </row>
    <row r="688" spans="4:7" x14ac:dyDescent="0.3">
      <c r="D688" s="23"/>
      <c r="G688" s="23"/>
    </row>
    <row r="689" spans="4:7" x14ac:dyDescent="0.3">
      <c r="D689" s="23"/>
      <c r="G689" s="23"/>
    </row>
    <row r="690" spans="4:7" x14ac:dyDescent="0.3">
      <c r="D690" s="23"/>
      <c r="G690" s="23"/>
    </row>
    <row r="691" spans="4:7" x14ac:dyDescent="0.3">
      <c r="D691" s="23"/>
      <c r="G691" s="23"/>
    </row>
    <row r="692" spans="4:7" x14ac:dyDescent="0.3">
      <c r="D692" s="23"/>
      <c r="G692" s="23"/>
    </row>
    <row r="693" spans="4:7" x14ac:dyDescent="0.3">
      <c r="D693" s="23"/>
      <c r="G693" s="23"/>
    </row>
    <row r="694" spans="4:7" x14ac:dyDescent="0.3">
      <c r="D694" s="23"/>
      <c r="G694" s="23"/>
    </row>
    <row r="695" spans="4:7" x14ac:dyDescent="0.3">
      <c r="D695" s="23"/>
      <c r="G695" s="23"/>
    </row>
    <row r="696" spans="4:7" x14ac:dyDescent="0.3">
      <c r="D696" s="23"/>
      <c r="G696" s="23"/>
    </row>
    <row r="697" spans="4:7" x14ac:dyDescent="0.3">
      <c r="D697" s="23"/>
      <c r="G697" s="23"/>
    </row>
    <row r="698" spans="4:7" x14ac:dyDescent="0.3">
      <c r="D698" s="23"/>
      <c r="G698" s="23"/>
    </row>
    <row r="699" spans="4:7" x14ac:dyDescent="0.3">
      <c r="D699" s="23"/>
      <c r="G699" s="23"/>
    </row>
    <row r="700" spans="4:7" x14ac:dyDescent="0.3">
      <c r="D700" s="23"/>
      <c r="G700" s="23"/>
    </row>
    <row r="701" spans="4:7" x14ac:dyDescent="0.3">
      <c r="D701" s="23"/>
      <c r="G701" s="23"/>
    </row>
    <row r="702" spans="4:7" x14ac:dyDescent="0.3">
      <c r="D702" s="23"/>
      <c r="G702" s="23"/>
    </row>
    <row r="703" spans="4:7" x14ac:dyDescent="0.3">
      <c r="D703" s="23"/>
      <c r="G703" s="23"/>
    </row>
    <row r="704" spans="4:7" x14ac:dyDescent="0.3">
      <c r="D704" s="23"/>
      <c r="G704" s="23"/>
    </row>
    <row r="705" spans="4:7" x14ac:dyDescent="0.3">
      <c r="D705" s="23"/>
      <c r="G705" s="23"/>
    </row>
    <row r="706" spans="4:7" x14ac:dyDescent="0.3">
      <c r="D706" s="23"/>
      <c r="G706" s="23"/>
    </row>
    <row r="707" spans="4:7" x14ac:dyDescent="0.3">
      <c r="D707" s="23"/>
      <c r="G707" s="23"/>
    </row>
    <row r="708" spans="4:7" x14ac:dyDescent="0.3">
      <c r="D708" s="23"/>
      <c r="G708" s="23"/>
    </row>
    <row r="709" spans="4:7" x14ac:dyDescent="0.3">
      <c r="D709" s="23"/>
      <c r="G709" s="23"/>
    </row>
    <row r="710" spans="4:7" x14ac:dyDescent="0.3">
      <c r="D710" s="23"/>
      <c r="G710" s="23"/>
    </row>
    <row r="711" spans="4:7" x14ac:dyDescent="0.3">
      <c r="D711" s="23"/>
      <c r="G711" s="23"/>
    </row>
    <row r="712" spans="4:7" x14ac:dyDescent="0.3">
      <c r="D712" s="23"/>
      <c r="G712" s="23"/>
    </row>
    <row r="713" spans="4:7" x14ac:dyDescent="0.3">
      <c r="D713" s="23"/>
      <c r="G713" s="23"/>
    </row>
    <row r="714" spans="4:7" x14ac:dyDescent="0.3">
      <c r="D714" s="23"/>
      <c r="G714" s="23"/>
    </row>
    <row r="715" spans="4:7" x14ac:dyDescent="0.3">
      <c r="D715" s="23"/>
      <c r="G715" s="23"/>
    </row>
    <row r="716" spans="4:7" x14ac:dyDescent="0.3">
      <c r="D716" s="23"/>
      <c r="G716" s="23"/>
    </row>
    <row r="717" spans="4:7" x14ac:dyDescent="0.3">
      <c r="D717" s="23"/>
      <c r="G717" s="23"/>
    </row>
    <row r="718" spans="4:7" x14ac:dyDescent="0.3">
      <c r="D718" s="23"/>
      <c r="G718" s="23"/>
    </row>
    <row r="719" spans="4:7" x14ac:dyDescent="0.3">
      <c r="D719" s="23"/>
      <c r="G719" s="23"/>
    </row>
    <row r="720" spans="4:7" x14ac:dyDescent="0.3">
      <c r="D720" s="23"/>
      <c r="G720" s="23"/>
    </row>
    <row r="721" spans="4:7" x14ac:dyDescent="0.3">
      <c r="D721" s="23"/>
      <c r="G721" s="23"/>
    </row>
    <row r="722" spans="4:7" x14ac:dyDescent="0.3">
      <c r="D722" s="23"/>
      <c r="G722" s="23"/>
    </row>
    <row r="723" spans="4:7" x14ac:dyDescent="0.3">
      <c r="D723" s="23"/>
      <c r="G723" s="23"/>
    </row>
    <row r="724" spans="4:7" x14ac:dyDescent="0.3">
      <c r="D724" s="23"/>
      <c r="G724" s="23"/>
    </row>
    <row r="725" spans="4:7" x14ac:dyDescent="0.3">
      <c r="D725" s="23"/>
      <c r="G725" s="23"/>
    </row>
    <row r="726" spans="4:7" x14ac:dyDescent="0.3">
      <c r="D726" s="23"/>
      <c r="G726" s="23"/>
    </row>
    <row r="727" spans="4:7" x14ac:dyDescent="0.3">
      <c r="D727" s="23"/>
      <c r="G727" s="23"/>
    </row>
    <row r="728" spans="4:7" x14ac:dyDescent="0.3">
      <c r="D728" s="23"/>
      <c r="G728" s="23"/>
    </row>
    <row r="729" spans="4:7" x14ac:dyDescent="0.3">
      <c r="D729" s="23"/>
      <c r="G729" s="23"/>
    </row>
    <row r="730" spans="4:7" x14ac:dyDescent="0.3">
      <c r="D730" s="23"/>
      <c r="G730" s="23"/>
    </row>
    <row r="731" spans="4:7" x14ac:dyDescent="0.3">
      <c r="D731" s="23"/>
      <c r="G731" s="23"/>
    </row>
    <row r="732" spans="4:7" x14ac:dyDescent="0.3">
      <c r="D732" s="23"/>
      <c r="G732" s="23"/>
    </row>
    <row r="733" spans="4:7" x14ac:dyDescent="0.3">
      <c r="D733" s="23"/>
      <c r="G733" s="23"/>
    </row>
    <row r="734" spans="4:7" x14ac:dyDescent="0.3">
      <c r="D734" s="23"/>
      <c r="G734" s="23"/>
    </row>
    <row r="735" spans="4:7" x14ac:dyDescent="0.3">
      <c r="D735" s="23"/>
      <c r="G735" s="23"/>
    </row>
    <row r="736" spans="4:7" x14ac:dyDescent="0.3">
      <c r="D736" s="23"/>
      <c r="G736" s="23"/>
    </row>
    <row r="737" spans="4:7" x14ac:dyDescent="0.3">
      <c r="D737" s="23"/>
      <c r="G737" s="23"/>
    </row>
    <row r="738" spans="4:7" x14ac:dyDescent="0.3">
      <c r="D738" s="23"/>
      <c r="G738" s="23"/>
    </row>
    <row r="739" spans="4:7" x14ac:dyDescent="0.3">
      <c r="D739" s="23"/>
      <c r="G739" s="23"/>
    </row>
    <row r="740" spans="4:7" x14ac:dyDescent="0.3">
      <c r="D740" s="23"/>
      <c r="G740" s="23"/>
    </row>
    <row r="741" spans="4:7" x14ac:dyDescent="0.3">
      <c r="D741" s="23"/>
      <c r="G741" s="23"/>
    </row>
    <row r="742" spans="4:7" x14ac:dyDescent="0.3">
      <c r="D742" s="23"/>
      <c r="G742" s="23"/>
    </row>
    <row r="743" spans="4:7" x14ac:dyDescent="0.3">
      <c r="D743" s="23"/>
      <c r="G743" s="23"/>
    </row>
    <row r="744" spans="4:7" x14ac:dyDescent="0.3">
      <c r="D744" s="23"/>
      <c r="G744" s="23"/>
    </row>
    <row r="745" spans="4:7" x14ac:dyDescent="0.3">
      <c r="D745" s="23"/>
      <c r="G745" s="23"/>
    </row>
    <row r="746" spans="4:7" x14ac:dyDescent="0.3">
      <c r="D746" s="23"/>
      <c r="G746" s="23"/>
    </row>
    <row r="747" spans="4:7" x14ac:dyDescent="0.3">
      <c r="D747" s="23"/>
      <c r="G747" s="23"/>
    </row>
    <row r="748" spans="4:7" x14ac:dyDescent="0.3">
      <c r="D748" s="23"/>
      <c r="G748" s="23"/>
    </row>
    <row r="749" spans="4:7" x14ac:dyDescent="0.3">
      <c r="D749" s="23"/>
      <c r="G749" s="23"/>
    </row>
    <row r="750" spans="4:7" x14ac:dyDescent="0.3">
      <c r="D750" s="23"/>
      <c r="G750" s="23"/>
    </row>
    <row r="751" spans="4:7" x14ac:dyDescent="0.3">
      <c r="D751" s="23"/>
      <c r="G751" s="23"/>
    </row>
    <row r="752" spans="4:7" x14ac:dyDescent="0.3">
      <c r="D752" s="23"/>
      <c r="G752" s="23"/>
    </row>
    <row r="753" spans="4:7" x14ac:dyDescent="0.3">
      <c r="D753" s="23"/>
      <c r="G753" s="23"/>
    </row>
    <row r="754" spans="4:7" x14ac:dyDescent="0.3">
      <c r="D754" s="23"/>
      <c r="G754" s="23"/>
    </row>
    <row r="755" spans="4:7" x14ac:dyDescent="0.3">
      <c r="D755" s="23"/>
      <c r="G755" s="23"/>
    </row>
    <row r="756" spans="4:7" x14ac:dyDescent="0.3">
      <c r="D756" s="23"/>
      <c r="G756" s="23"/>
    </row>
    <row r="757" spans="4:7" x14ac:dyDescent="0.3">
      <c r="D757" s="23"/>
      <c r="G757" s="23"/>
    </row>
    <row r="758" spans="4:7" x14ac:dyDescent="0.3">
      <c r="D758" s="23"/>
      <c r="G758" s="23"/>
    </row>
    <row r="759" spans="4:7" x14ac:dyDescent="0.3">
      <c r="D759" s="23"/>
      <c r="G759" s="23"/>
    </row>
    <row r="760" spans="4:7" x14ac:dyDescent="0.3">
      <c r="D760" s="23"/>
      <c r="G760" s="23"/>
    </row>
    <row r="761" spans="4:7" x14ac:dyDescent="0.3">
      <c r="D761" s="23"/>
      <c r="G761" s="23"/>
    </row>
    <row r="762" spans="4:7" x14ac:dyDescent="0.3">
      <c r="D762" s="23"/>
      <c r="G762" s="23"/>
    </row>
    <row r="763" spans="4:7" x14ac:dyDescent="0.3">
      <c r="D763" s="23"/>
      <c r="G763" s="23"/>
    </row>
    <row r="764" spans="4:7" x14ac:dyDescent="0.3">
      <c r="D764" s="23"/>
      <c r="G764" s="23"/>
    </row>
    <row r="765" spans="4:7" x14ac:dyDescent="0.3">
      <c r="D765" s="23"/>
      <c r="G765" s="23"/>
    </row>
    <row r="766" spans="4:7" x14ac:dyDescent="0.3">
      <c r="D766" s="23"/>
      <c r="G766" s="23"/>
    </row>
    <row r="767" spans="4:7" x14ac:dyDescent="0.3">
      <c r="D767" s="23"/>
      <c r="G767" s="23"/>
    </row>
    <row r="768" spans="4:7" x14ac:dyDescent="0.3">
      <c r="D768" s="23"/>
      <c r="G768" s="23"/>
    </row>
    <row r="769" spans="4:7" x14ac:dyDescent="0.3">
      <c r="D769" s="23"/>
      <c r="G769" s="23"/>
    </row>
    <row r="770" spans="4:7" x14ac:dyDescent="0.3">
      <c r="D770" s="23"/>
      <c r="G770" s="23"/>
    </row>
    <row r="771" spans="4:7" x14ac:dyDescent="0.3">
      <c r="D771" s="23"/>
      <c r="G771" s="23"/>
    </row>
    <row r="772" spans="4:7" x14ac:dyDescent="0.3">
      <c r="D772" s="23"/>
      <c r="G772" s="23"/>
    </row>
    <row r="773" spans="4:7" x14ac:dyDescent="0.3">
      <c r="D773" s="23"/>
      <c r="G773" s="23"/>
    </row>
    <row r="774" spans="4:7" x14ac:dyDescent="0.3">
      <c r="D774" s="23"/>
      <c r="G774" s="23"/>
    </row>
    <row r="775" spans="4:7" x14ac:dyDescent="0.3">
      <c r="D775" s="23"/>
      <c r="G775" s="23"/>
    </row>
    <row r="776" spans="4:7" x14ac:dyDescent="0.3">
      <c r="D776" s="23"/>
      <c r="G776" s="23"/>
    </row>
    <row r="777" spans="4:7" x14ac:dyDescent="0.3">
      <c r="D777" s="23"/>
      <c r="G777" s="23"/>
    </row>
    <row r="778" spans="4:7" x14ac:dyDescent="0.3">
      <c r="D778" s="23"/>
      <c r="G778" s="23"/>
    </row>
    <row r="779" spans="4:7" x14ac:dyDescent="0.3">
      <c r="D779" s="23"/>
      <c r="G779" s="23"/>
    </row>
    <row r="780" spans="4:7" x14ac:dyDescent="0.3">
      <c r="D780" s="23"/>
      <c r="G780" s="23"/>
    </row>
    <row r="781" spans="4:7" x14ac:dyDescent="0.3">
      <c r="D781" s="23"/>
      <c r="G781" s="23"/>
    </row>
    <row r="782" spans="4:7" x14ac:dyDescent="0.3">
      <c r="D782" s="23"/>
      <c r="G782" s="23"/>
    </row>
    <row r="783" spans="4:7" x14ac:dyDescent="0.3">
      <c r="D783" s="23"/>
      <c r="G783" s="23"/>
    </row>
    <row r="784" spans="4:7" x14ac:dyDescent="0.3">
      <c r="D784" s="23"/>
      <c r="G784" s="23"/>
    </row>
    <row r="785" spans="4:7" x14ac:dyDescent="0.3">
      <c r="D785" s="23"/>
      <c r="G785" s="23"/>
    </row>
    <row r="786" spans="4:7" x14ac:dyDescent="0.3">
      <c r="D786" s="23"/>
      <c r="G786" s="23"/>
    </row>
    <row r="787" spans="4:7" x14ac:dyDescent="0.3">
      <c r="D787" s="23"/>
      <c r="G787" s="23"/>
    </row>
    <row r="788" spans="4:7" x14ac:dyDescent="0.3">
      <c r="D788" s="23"/>
      <c r="G788" s="23"/>
    </row>
    <row r="789" spans="4:7" x14ac:dyDescent="0.3">
      <c r="D789" s="23"/>
      <c r="G789" s="23"/>
    </row>
    <row r="790" spans="4:7" x14ac:dyDescent="0.3">
      <c r="D790" s="23"/>
      <c r="G790" s="23"/>
    </row>
    <row r="791" spans="4:7" x14ac:dyDescent="0.3">
      <c r="D791" s="23"/>
      <c r="G791" s="23"/>
    </row>
    <row r="792" spans="4:7" x14ac:dyDescent="0.3">
      <c r="D792" s="23"/>
      <c r="G792" s="23"/>
    </row>
    <row r="793" spans="4:7" x14ac:dyDescent="0.3">
      <c r="D793" s="23"/>
      <c r="G793" s="23"/>
    </row>
    <row r="794" spans="4:7" x14ac:dyDescent="0.3">
      <c r="D794" s="23"/>
      <c r="G794" s="23"/>
    </row>
    <row r="795" spans="4:7" x14ac:dyDescent="0.3">
      <c r="D795" s="23"/>
      <c r="G795" s="23"/>
    </row>
    <row r="796" spans="4:7" x14ac:dyDescent="0.3">
      <c r="D796" s="23"/>
      <c r="G796" s="23"/>
    </row>
    <row r="797" spans="4:7" x14ac:dyDescent="0.3">
      <c r="D797" s="23"/>
      <c r="G797" s="23"/>
    </row>
    <row r="798" spans="4:7" x14ac:dyDescent="0.3">
      <c r="D798" s="23"/>
      <c r="G798" s="23"/>
    </row>
    <row r="799" spans="4:7" x14ac:dyDescent="0.3">
      <c r="D799" s="23"/>
      <c r="G799" s="23"/>
    </row>
    <row r="800" spans="4:7" x14ac:dyDescent="0.3">
      <c r="D800" s="23"/>
      <c r="G800" s="23"/>
    </row>
    <row r="801" spans="4:7" x14ac:dyDescent="0.3">
      <c r="D801" s="23"/>
      <c r="G801" s="23"/>
    </row>
    <row r="802" spans="4:7" x14ac:dyDescent="0.3">
      <c r="D802" s="23"/>
      <c r="G802" s="23"/>
    </row>
    <row r="803" spans="4:7" x14ac:dyDescent="0.3">
      <c r="D803" s="23"/>
      <c r="G803" s="23"/>
    </row>
    <row r="804" spans="4:7" x14ac:dyDescent="0.3">
      <c r="D804" s="23"/>
      <c r="G804" s="23"/>
    </row>
    <row r="805" spans="4:7" x14ac:dyDescent="0.3">
      <c r="D805" s="23"/>
      <c r="G805" s="23"/>
    </row>
    <row r="806" spans="4:7" x14ac:dyDescent="0.3">
      <c r="D806" s="23"/>
      <c r="G806" s="23"/>
    </row>
    <row r="807" spans="4:7" x14ac:dyDescent="0.3">
      <c r="D807" s="23"/>
      <c r="G807" s="23"/>
    </row>
    <row r="808" spans="4:7" x14ac:dyDescent="0.3">
      <c r="D808" s="23"/>
      <c r="G808" s="23"/>
    </row>
    <row r="809" spans="4:7" x14ac:dyDescent="0.3">
      <c r="D809" s="23"/>
      <c r="G809" s="23"/>
    </row>
    <row r="810" spans="4:7" x14ac:dyDescent="0.3">
      <c r="D810" s="23"/>
      <c r="G810" s="23"/>
    </row>
    <row r="811" spans="4:7" x14ac:dyDescent="0.3">
      <c r="D811" s="23"/>
      <c r="G811" s="23"/>
    </row>
    <row r="812" spans="4:7" x14ac:dyDescent="0.3">
      <c r="D812" s="23"/>
      <c r="G812" s="23"/>
    </row>
    <row r="813" spans="4:7" x14ac:dyDescent="0.3">
      <c r="D813" s="23"/>
      <c r="G813" s="23"/>
    </row>
    <row r="814" spans="4:7" x14ac:dyDescent="0.3">
      <c r="D814" s="23"/>
      <c r="G814" s="23"/>
    </row>
    <row r="815" spans="4:7" x14ac:dyDescent="0.3">
      <c r="D815" s="23"/>
      <c r="G815" s="23"/>
    </row>
    <row r="816" spans="4:7" x14ac:dyDescent="0.3">
      <c r="D816" s="23"/>
      <c r="G816" s="23"/>
    </row>
    <row r="817" spans="4:7" x14ac:dyDescent="0.3">
      <c r="D817" s="23"/>
      <c r="G817" s="23"/>
    </row>
    <row r="818" spans="4:7" x14ac:dyDescent="0.3">
      <c r="D818" s="23"/>
      <c r="G818" s="23"/>
    </row>
    <row r="819" spans="4:7" x14ac:dyDescent="0.3">
      <c r="D819" s="23"/>
      <c r="G819" s="23"/>
    </row>
    <row r="820" spans="4:7" x14ac:dyDescent="0.3">
      <c r="D820" s="23"/>
      <c r="G820" s="23"/>
    </row>
    <row r="821" spans="4:7" x14ac:dyDescent="0.3">
      <c r="D821" s="23"/>
      <c r="G821" s="23"/>
    </row>
    <row r="822" spans="4:7" x14ac:dyDescent="0.3">
      <c r="D822" s="23"/>
      <c r="G822" s="23"/>
    </row>
    <row r="823" spans="4:7" x14ac:dyDescent="0.3">
      <c r="D823" s="23"/>
      <c r="G823" s="23"/>
    </row>
    <row r="824" spans="4:7" x14ac:dyDescent="0.3">
      <c r="D824" s="23"/>
      <c r="G824" s="23"/>
    </row>
    <row r="825" spans="4:7" x14ac:dyDescent="0.3">
      <c r="D825" s="23"/>
      <c r="G825" s="23"/>
    </row>
    <row r="826" spans="4:7" x14ac:dyDescent="0.3">
      <c r="D826" s="23"/>
      <c r="G826" s="23"/>
    </row>
    <row r="827" spans="4:7" x14ac:dyDescent="0.3">
      <c r="D827" s="23"/>
      <c r="G827" s="23"/>
    </row>
    <row r="828" spans="4:7" x14ac:dyDescent="0.3">
      <c r="D828" s="23"/>
      <c r="G828" s="23"/>
    </row>
    <row r="829" spans="4:7" x14ac:dyDescent="0.3">
      <c r="D829" s="23"/>
      <c r="G829" s="23"/>
    </row>
    <row r="830" spans="4:7" x14ac:dyDescent="0.3">
      <c r="D830" s="23"/>
      <c r="G830" s="23"/>
    </row>
    <row r="831" spans="4:7" x14ac:dyDescent="0.3">
      <c r="D831" s="23"/>
      <c r="G831" s="23"/>
    </row>
    <row r="832" spans="4:7" x14ac:dyDescent="0.3">
      <c r="D832" s="23"/>
      <c r="G832" s="23"/>
    </row>
    <row r="833" spans="4:7" x14ac:dyDescent="0.3">
      <c r="D833" s="23"/>
      <c r="G833" s="23"/>
    </row>
    <row r="834" spans="4:7" x14ac:dyDescent="0.3">
      <c r="D834" s="23"/>
      <c r="G834" s="23"/>
    </row>
    <row r="835" spans="4:7" x14ac:dyDescent="0.3">
      <c r="D835" s="23"/>
      <c r="G835" s="23"/>
    </row>
    <row r="836" spans="4:7" x14ac:dyDescent="0.3">
      <c r="D836" s="23"/>
      <c r="G836" s="23"/>
    </row>
    <row r="837" spans="4:7" x14ac:dyDescent="0.3">
      <c r="D837" s="23"/>
      <c r="G837" s="23"/>
    </row>
    <row r="838" spans="4:7" x14ac:dyDescent="0.3">
      <c r="D838" s="23"/>
      <c r="G838" s="23"/>
    </row>
    <row r="839" spans="4:7" x14ac:dyDescent="0.3">
      <c r="D839" s="23"/>
      <c r="G839" s="23"/>
    </row>
    <row r="840" spans="4:7" x14ac:dyDescent="0.3">
      <c r="D840" s="23"/>
      <c r="G840" s="23"/>
    </row>
    <row r="841" spans="4:7" x14ac:dyDescent="0.3">
      <c r="D841" s="23"/>
      <c r="G841" s="23"/>
    </row>
    <row r="842" spans="4:7" x14ac:dyDescent="0.3">
      <c r="D842" s="23"/>
      <c r="G842" s="23"/>
    </row>
    <row r="843" spans="4:7" x14ac:dyDescent="0.3">
      <c r="D843" s="23"/>
      <c r="G843" s="23"/>
    </row>
    <row r="844" spans="4:7" x14ac:dyDescent="0.3">
      <c r="D844" s="23"/>
      <c r="G844" s="23"/>
    </row>
    <row r="845" spans="4:7" x14ac:dyDescent="0.3">
      <c r="D845" s="23"/>
      <c r="G845" s="23"/>
    </row>
    <row r="846" spans="4:7" x14ac:dyDescent="0.3">
      <c r="D846" s="23"/>
      <c r="G846" s="23"/>
    </row>
    <row r="847" spans="4:7" x14ac:dyDescent="0.3">
      <c r="D847" s="23"/>
      <c r="G847" s="23"/>
    </row>
    <row r="848" spans="4:7" x14ac:dyDescent="0.3">
      <c r="D848" s="23"/>
      <c r="G848" s="23"/>
    </row>
    <row r="849" spans="4:7" x14ac:dyDescent="0.3">
      <c r="D849" s="23"/>
      <c r="G849" s="23"/>
    </row>
    <row r="850" spans="4:7" x14ac:dyDescent="0.3">
      <c r="D850" s="23"/>
      <c r="G850" s="23"/>
    </row>
    <row r="851" spans="4:7" x14ac:dyDescent="0.3">
      <c r="D851" s="23"/>
      <c r="G851" s="23"/>
    </row>
    <row r="852" spans="4:7" x14ac:dyDescent="0.3">
      <c r="D852" s="23"/>
      <c r="G852" s="23"/>
    </row>
    <row r="853" spans="4:7" x14ac:dyDescent="0.3">
      <c r="D853" s="23"/>
      <c r="G853" s="23"/>
    </row>
    <row r="854" spans="4:7" x14ac:dyDescent="0.3">
      <c r="D854" s="23"/>
      <c r="G854" s="23"/>
    </row>
    <row r="855" spans="4:7" x14ac:dyDescent="0.3">
      <c r="D855" s="23"/>
      <c r="G855" s="23"/>
    </row>
    <row r="856" spans="4:7" x14ac:dyDescent="0.3">
      <c r="D856" s="23"/>
      <c r="G856" s="23"/>
    </row>
    <row r="857" spans="4:7" x14ac:dyDescent="0.3">
      <c r="D857" s="23"/>
      <c r="G857" s="23"/>
    </row>
    <row r="858" spans="4:7" x14ac:dyDescent="0.3">
      <c r="D858" s="23"/>
      <c r="G858" s="23"/>
    </row>
    <row r="859" spans="4:7" x14ac:dyDescent="0.3">
      <c r="D859" s="23"/>
      <c r="G859" s="23"/>
    </row>
    <row r="860" spans="4:7" x14ac:dyDescent="0.3">
      <c r="D860" s="23"/>
      <c r="G860" s="23"/>
    </row>
    <row r="861" spans="4:7" x14ac:dyDescent="0.3">
      <c r="D861" s="23"/>
      <c r="G861" s="23"/>
    </row>
    <row r="862" spans="4:7" x14ac:dyDescent="0.3">
      <c r="D862" s="23"/>
      <c r="G862" s="23"/>
    </row>
    <row r="863" spans="4:7" x14ac:dyDescent="0.3">
      <c r="D863" s="23"/>
      <c r="G863" s="23"/>
    </row>
    <row r="864" spans="4:7" x14ac:dyDescent="0.3">
      <c r="D864" s="23"/>
      <c r="G864" s="23"/>
    </row>
    <row r="865" spans="4:7" x14ac:dyDescent="0.3">
      <c r="D865" s="23"/>
      <c r="G865" s="23"/>
    </row>
    <row r="866" spans="4:7" x14ac:dyDescent="0.3">
      <c r="D866" s="23"/>
      <c r="G866" s="23"/>
    </row>
    <row r="867" spans="4:7" x14ac:dyDescent="0.3">
      <c r="D867" s="23"/>
      <c r="G867" s="23"/>
    </row>
    <row r="868" spans="4:7" x14ac:dyDescent="0.3">
      <c r="D868" s="23"/>
      <c r="G868" s="23"/>
    </row>
    <row r="869" spans="4:7" x14ac:dyDescent="0.3">
      <c r="D869" s="23"/>
      <c r="G869" s="23"/>
    </row>
    <row r="870" spans="4:7" x14ac:dyDescent="0.3">
      <c r="D870" s="23"/>
      <c r="G870" s="23"/>
    </row>
    <row r="871" spans="4:7" x14ac:dyDescent="0.3">
      <c r="D871" s="23"/>
      <c r="G871" s="23"/>
    </row>
    <row r="872" spans="4:7" x14ac:dyDescent="0.3">
      <c r="D872" s="23"/>
      <c r="G872" s="23"/>
    </row>
    <row r="873" spans="4:7" x14ac:dyDescent="0.3">
      <c r="D873" s="23"/>
      <c r="G873" s="23"/>
    </row>
    <row r="874" spans="4:7" x14ac:dyDescent="0.3">
      <c r="D874" s="23"/>
      <c r="G874" s="23"/>
    </row>
    <row r="875" spans="4:7" x14ac:dyDescent="0.3">
      <c r="D875" s="23"/>
      <c r="G875" s="23"/>
    </row>
    <row r="876" spans="4:7" x14ac:dyDescent="0.3">
      <c r="D876" s="23"/>
      <c r="G876" s="23"/>
    </row>
    <row r="877" spans="4:7" x14ac:dyDescent="0.3">
      <c r="D877" s="23"/>
      <c r="G877" s="23"/>
    </row>
    <row r="878" spans="4:7" x14ac:dyDescent="0.3">
      <c r="D878" s="23"/>
      <c r="G878" s="23"/>
    </row>
    <row r="879" spans="4:7" x14ac:dyDescent="0.3">
      <c r="D879" s="23"/>
      <c r="G879" s="23"/>
    </row>
    <row r="880" spans="4:7" x14ac:dyDescent="0.3">
      <c r="D880" s="23"/>
      <c r="G880" s="23"/>
    </row>
    <row r="881" spans="4:7" x14ac:dyDescent="0.3">
      <c r="D881" s="23"/>
      <c r="G881" s="23"/>
    </row>
    <row r="882" spans="4:7" x14ac:dyDescent="0.3">
      <c r="D882" s="23"/>
      <c r="G882" s="23"/>
    </row>
    <row r="883" spans="4:7" x14ac:dyDescent="0.3">
      <c r="D883" s="23"/>
      <c r="G883" s="23"/>
    </row>
    <row r="884" spans="4:7" x14ac:dyDescent="0.3">
      <c r="D884" s="23"/>
      <c r="G884" s="23"/>
    </row>
    <row r="885" spans="4:7" x14ac:dyDescent="0.3">
      <c r="D885" s="23"/>
      <c r="G885" s="23"/>
    </row>
    <row r="886" spans="4:7" x14ac:dyDescent="0.3">
      <c r="D886" s="23"/>
      <c r="G886" s="23"/>
    </row>
    <row r="887" spans="4:7" x14ac:dyDescent="0.3">
      <c r="D887" s="23"/>
      <c r="G887" s="23"/>
    </row>
    <row r="888" spans="4:7" x14ac:dyDescent="0.3">
      <c r="D888" s="23"/>
      <c r="G888" s="23"/>
    </row>
    <row r="889" spans="4:7" x14ac:dyDescent="0.3">
      <c r="D889" s="23"/>
      <c r="G889" s="23"/>
    </row>
    <row r="890" spans="4:7" x14ac:dyDescent="0.3">
      <c r="D890" s="23"/>
      <c r="G890" s="23"/>
    </row>
    <row r="891" spans="4:7" x14ac:dyDescent="0.3">
      <c r="D891" s="23"/>
      <c r="G891" s="23"/>
    </row>
    <row r="892" spans="4:7" x14ac:dyDescent="0.3">
      <c r="D892" s="23"/>
      <c r="G892" s="23"/>
    </row>
    <row r="893" spans="4:7" x14ac:dyDescent="0.3">
      <c r="D893" s="23"/>
      <c r="G893" s="23"/>
    </row>
    <row r="894" spans="4:7" x14ac:dyDescent="0.3">
      <c r="D894" s="23"/>
      <c r="G894" s="23"/>
    </row>
    <row r="895" spans="4:7" x14ac:dyDescent="0.3">
      <c r="D895" s="23"/>
      <c r="G895" s="23"/>
    </row>
    <row r="896" spans="4:7" x14ac:dyDescent="0.3">
      <c r="D896" s="23"/>
      <c r="G896" s="23"/>
    </row>
    <row r="897" spans="4:7" x14ac:dyDescent="0.3">
      <c r="D897" s="23"/>
      <c r="G897" s="23"/>
    </row>
    <row r="898" spans="4:7" x14ac:dyDescent="0.3">
      <c r="D898" s="23"/>
      <c r="G898" s="23"/>
    </row>
    <row r="899" spans="4:7" x14ac:dyDescent="0.3">
      <c r="D899" s="23"/>
      <c r="G899" s="23"/>
    </row>
    <row r="900" spans="4:7" x14ac:dyDescent="0.3">
      <c r="D900" s="23"/>
      <c r="G900" s="23"/>
    </row>
    <row r="901" spans="4:7" x14ac:dyDescent="0.3">
      <c r="D901" s="23"/>
      <c r="G901" s="23"/>
    </row>
    <row r="902" spans="4:7" x14ac:dyDescent="0.3">
      <c r="D902" s="23"/>
      <c r="G902" s="23"/>
    </row>
    <row r="903" spans="4:7" x14ac:dyDescent="0.3">
      <c r="D903" s="23"/>
      <c r="G903" s="23"/>
    </row>
    <row r="904" spans="4:7" x14ac:dyDescent="0.3">
      <c r="D904" s="23"/>
      <c r="G904" s="23"/>
    </row>
    <row r="905" spans="4:7" x14ac:dyDescent="0.3">
      <c r="D905" s="23"/>
      <c r="G905" s="23"/>
    </row>
    <row r="906" spans="4:7" x14ac:dyDescent="0.3">
      <c r="D906" s="23"/>
      <c r="G906" s="23"/>
    </row>
    <row r="907" spans="4:7" x14ac:dyDescent="0.3">
      <c r="D907" s="23"/>
      <c r="G907" s="23"/>
    </row>
    <row r="908" spans="4:7" x14ac:dyDescent="0.3">
      <c r="D908" s="23"/>
      <c r="G908" s="23"/>
    </row>
    <row r="909" spans="4:7" x14ac:dyDescent="0.3">
      <c r="D909" s="23"/>
      <c r="G909" s="23"/>
    </row>
    <row r="910" spans="4:7" x14ac:dyDescent="0.3">
      <c r="D910" s="23"/>
      <c r="G910" s="23"/>
    </row>
    <row r="911" spans="4:7" x14ac:dyDescent="0.3">
      <c r="D911" s="23"/>
      <c r="G911" s="23"/>
    </row>
    <row r="912" spans="4:7" x14ac:dyDescent="0.3">
      <c r="D912" s="23"/>
      <c r="G912" s="23"/>
    </row>
    <row r="913" spans="4:7" x14ac:dyDescent="0.3">
      <c r="D913" s="23"/>
      <c r="G913" s="23"/>
    </row>
    <row r="914" spans="4:7" x14ac:dyDescent="0.3">
      <c r="D914" s="23"/>
      <c r="G914" s="23"/>
    </row>
    <row r="915" spans="4:7" x14ac:dyDescent="0.3">
      <c r="D915" s="23"/>
      <c r="G915" s="23"/>
    </row>
    <row r="916" spans="4:7" x14ac:dyDescent="0.3">
      <c r="D916" s="23"/>
      <c r="G916" s="23"/>
    </row>
    <row r="917" spans="4:7" x14ac:dyDescent="0.3">
      <c r="D917" s="23"/>
      <c r="G917" s="23"/>
    </row>
    <row r="918" spans="4:7" x14ac:dyDescent="0.3">
      <c r="D918" s="23"/>
      <c r="G918" s="23"/>
    </row>
    <row r="919" spans="4:7" x14ac:dyDescent="0.3">
      <c r="D919" s="23"/>
      <c r="G919" s="23"/>
    </row>
    <row r="920" spans="4:7" x14ac:dyDescent="0.3">
      <c r="D920" s="23"/>
      <c r="G920" s="23"/>
    </row>
    <row r="921" spans="4:7" x14ac:dyDescent="0.3">
      <c r="D921" s="23"/>
      <c r="G921" s="23"/>
    </row>
    <row r="922" spans="4:7" x14ac:dyDescent="0.3">
      <c r="D922" s="23"/>
      <c r="G922" s="23"/>
    </row>
    <row r="923" spans="4:7" x14ac:dyDescent="0.3">
      <c r="D923" s="23"/>
      <c r="G923" s="23"/>
    </row>
    <row r="924" spans="4:7" x14ac:dyDescent="0.3">
      <c r="D924" s="23"/>
      <c r="G924" s="23"/>
    </row>
    <row r="925" spans="4:7" x14ac:dyDescent="0.3">
      <c r="D925" s="23"/>
      <c r="G925" s="23"/>
    </row>
    <row r="926" spans="4:7" x14ac:dyDescent="0.3">
      <c r="D926" s="23"/>
      <c r="G926" s="23"/>
    </row>
    <row r="927" spans="4:7" x14ac:dyDescent="0.3">
      <c r="D927" s="23"/>
      <c r="G927" s="23"/>
    </row>
    <row r="928" spans="4:7" x14ac:dyDescent="0.3">
      <c r="D928" s="23"/>
      <c r="G928" s="23"/>
    </row>
    <row r="929" spans="4:7" x14ac:dyDescent="0.3">
      <c r="D929" s="23"/>
      <c r="G929" s="23"/>
    </row>
    <row r="930" spans="4:7" x14ac:dyDescent="0.3">
      <c r="D930" s="23"/>
      <c r="G930" s="23"/>
    </row>
    <row r="931" spans="4:7" x14ac:dyDescent="0.3">
      <c r="D931" s="23"/>
      <c r="G931" s="23"/>
    </row>
    <row r="932" spans="4:7" x14ac:dyDescent="0.3">
      <c r="D932" s="23"/>
      <c r="G932" s="23"/>
    </row>
    <row r="933" spans="4:7" x14ac:dyDescent="0.3">
      <c r="D933" s="23"/>
      <c r="G933" s="23"/>
    </row>
    <row r="934" spans="4:7" x14ac:dyDescent="0.3">
      <c r="D934" s="23"/>
      <c r="G934" s="23"/>
    </row>
    <row r="935" spans="4:7" x14ac:dyDescent="0.3">
      <c r="D935" s="23"/>
      <c r="G935" s="23"/>
    </row>
    <row r="936" spans="4:7" x14ac:dyDescent="0.3">
      <c r="D936" s="23"/>
      <c r="G936" s="23"/>
    </row>
    <row r="937" spans="4:7" x14ac:dyDescent="0.3">
      <c r="D937" s="23"/>
      <c r="G937" s="23"/>
    </row>
    <row r="938" spans="4:7" x14ac:dyDescent="0.3">
      <c r="D938" s="23"/>
      <c r="G938" s="23"/>
    </row>
    <row r="939" spans="4:7" x14ac:dyDescent="0.3">
      <c r="D939" s="23"/>
      <c r="G939" s="23"/>
    </row>
    <row r="940" spans="4:7" x14ac:dyDescent="0.3">
      <c r="D940" s="23"/>
      <c r="G940" s="23"/>
    </row>
    <row r="941" spans="4:7" x14ac:dyDescent="0.3">
      <c r="D941" s="23"/>
      <c r="G941" s="23"/>
    </row>
    <row r="942" spans="4:7" x14ac:dyDescent="0.3">
      <c r="D942" s="23"/>
      <c r="G942" s="23"/>
    </row>
    <row r="943" spans="4:7" x14ac:dyDescent="0.3">
      <c r="D943" s="23"/>
      <c r="G943" s="23"/>
    </row>
    <row r="944" spans="4:7" x14ac:dyDescent="0.3">
      <c r="D944" s="23"/>
      <c r="G944" s="23"/>
    </row>
    <row r="945" spans="4:7" x14ac:dyDescent="0.3">
      <c r="D945" s="23"/>
      <c r="G945" s="23"/>
    </row>
    <row r="946" spans="4:7" x14ac:dyDescent="0.3">
      <c r="D946" s="23"/>
      <c r="G946" s="23"/>
    </row>
    <row r="947" spans="4:7" x14ac:dyDescent="0.3">
      <c r="D947" s="23"/>
      <c r="G947" s="23"/>
    </row>
    <row r="948" spans="4:7" x14ac:dyDescent="0.3">
      <c r="D948" s="23"/>
      <c r="G948" s="23"/>
    </row>
    <row r="949" spans="4:7" x14ac:dyDescent="0.3">
      <c r="D949" s="23"/>
      <c r="G949" s="23"/>
    </row>
    <row r="950" spans="4:7" x14ac:dyDescent="0.3">
      <c r="D950" s="23"/>
      <c r="G950" s="23"/>
    </row>
    <row r="951" spans="4:7" x14ac:dyDescent="0.3">
      <c r="D951" s="23"/>
      <c r="G951" s="23"/>
    </row>
    <row r="952" spans="4:7" x14ac:dyDescent="0.3">
      <c r="D952" s="23"/>
      <c r="G952" s="23"/>
    </row>
    <row r="953" spans="4:7" x14ac:dyDescent="0.3">
      <c r="D953" s="23"/>
      <c r="G953" s="23"/>
    </row>
    <row r="954" spans="4:7" x14ac:dyDescent="0.3">
      <c r="D954" s="23"/>
      <c r="G954" s="23"/>
    </row>
    <row r="955" spans="4:7" x14ac:dyDescent="0.3">
      <c r="D955" s="23"/>
      <c r="G955" s="23"/>
    </row>
    <row r="956" spans="4:7" x14ac:dyDescent="0.3">
      <c r="D956" s="23"/>
      <c r="G956" s="23"/>
    </row>
    <row r="957" spans="4:7" x14ac:dyDescent="0.3">
      <c r="D957" s="23"/>
      <c r="G957" s="23"/>
    </row>
    <row r="958" spans="4:7" x14ac:dyDescent="0.3">
      <c r="D958" s="23"/>
      <c r="G958" s="23"/>
    </row>
    <row r="959" spans="4:7" x14ac:dyDescent="0.3">
      <c r="D959" s="23"/>
      <c r="G959" s="23"/>
    </row>
    <row r="960" spans="4:7" x14ac:dyDescent="0.3">
      <c r="D960" s="23"/>
      <c r="G960" s="23"/>
    </row>
    <row r="961" spans="4:7" x14ac:dyDescent="0.3">
      <c r="D961" s="23"/>
      <c r="G961" s="23"/>
    </row>
    <row r="962" spans="4:7" x14ac:dyDescent="0.3">
      <c r="D962" s="23"/>
      <c r="G962" s="23"/>
    </row>
    <row r="963" spans="4:7" x14ac:dyDescent="0.3">
      <c r="D963" s="23"/>
      <c r="G963" s="23"/>
    </row>
    <row r="964" spans="4:7" x14ac:dyDescent="0.3">
      <c r="D964" s="23"/>
      <c r="G964" s="23"/>
    </row>
    <row r="965" spans="4:7" x14ac:dyDescent="0.3">
      <c r="D965" s="23"/>
      <c r="G965" s="23"/>
    </row>
    <row r="966" spans="4:7" x14ac:dyDescent="0.3">
      <c r="D966" s="23"/>
      <c r="G966" s="23"/>
    </row>
    <row r="967" spans="4:7" x14ac:dyDescent="0.3">
      <c r="D967" s="23"/>
      <c r="G967" s="23"/>
    </row>
    <row r="968" spans="4:7" x14ac:dyDescent="0.3">
      <c r="D968" s="23"/>
      <c r="G968" s="23"/>
    </row>
    <row r="969" spans="4:7" x14ac:dyDescent="0.3">
      <c r="D969" s="23"/>
      <c r="G969" s="23"/>
    </row>
    <row r="970" spans="4:7" x14ac:dyDescent="0.3">
      <c r="D970" s="23"/>
      <c r="G970" s="23"/>
    </row>
    <row r="971" spans="4:7" x14ac:dyDescent="0.3">
      <c r="D971" s="23"/>
      <c r="G971" s="23"/>
    </row>
    <row r="972" spans="4:7" x14ac:dyDescent="0.3">
      <c r="D972" s="23"/>
      <c r="G972" s="23"/>
    </row>
    <row r="973" spans="4:7" x14ac:dyDescent="0.3">
      <c r="D973" s="23"/>
      <c r="G973" s="23"/>
    </row>
    <row r="974" spans="4:7" x14ac:dyDescent="0.3">
      <c r="D974" s="23"/>
      <c r="G974" s="23"/>
    </row>
    <row r="975" spans="4:7" x14ac:dyDescent="0.3">
      <c r="D975" s="23"/>
      <c r="G975" s="23"/>
    </row>
    <row r="976" spans="4:7" x14ac:dyDescent="0.3">
      <c r="D976" s="23"/>
      <c r="G976" s="23"/>
    </row>
    <row r="977" spans="4:7" x14ac:dyDescent="0.3">
      <c r="D977" s="23"/>
      <c r="G977" s="23"/>
    </row>
    <row r="978" spans="4:7" x14ac:dyDescent="0.3">
      <c r="D978" s="23"/>
      <c r="G978" s="23"/>
    </row>
    <row r="979" spans="4:7" x14ac:dyDescent="0.3">
      <c r="D979" s="23"/>
      <c r="G979" s="23"/>
    </row>
    <row r="980" spans="4:7" x14ac:dyDescent="0.3">
      <c r="D980" s="23"/>
      <c r="G980" s="23"/>
    </row>
    <row r="981" spans="4:7" x14ac:dyDescent="0.3">
      <c r="D981" s="23"/>
      <c r="G981" s="23"/>
    </row>
    <row r="982" spans="4:7" x14ac:dyDescent="0.3">
      <c r="D982" s="23"/>
      <c r="G982" s="23"/>
    </row>
    <row r="983" spans="4:7" x14ac:dyDescent="0.3">
      <c r="D983" s="23"/>
      <c r="G983" s="23"/>
    </row>
    <row r="984" spans="4:7" x14ac:dyDescent="0.3">
      <c r="D984" s="23"/>
      <c r="G984" s="23"/>
    </row>
    <row r="985" spans="4:7" x14ac:dyDescent="0.3">
      <c r="D985" s="23"/>
      <c r="G985" s="23"/>
    </row>
    <row r="986" spans="4:7" x14ac:dyDescent="0.3">
      <c r="D986" s="23"/>
      <c r="G986" s="23"/>
    </row>
    <row r="987" spans="4:7" x14ac:dyDescent="0.3">
      <c r="D987" s="23"/>
      <c r="G987" s="23"/>
    </row>
    <row r="988" spans="4:7" x14ac:dyDescent="0.3">
      <c r="D988" s="23"/>
      <c r="G988" s="23"/>
    </row>
    <row r="989" spans="4:7" x14ac:dyDescent="0.3">
      <c r="D989" s="23"/>
      <c r="G989" s="23"/>
    </row>
    <row r="990" spans="4:7" x14ac:dyDescent="0.3">
      <c r="D990" s="23"/>
      <c r="G990" s="23"/>
    </row>
    <row r="991" spans="4:7" x14ac:dyDescent="0.3">
      <c r="D991" s="23"/>
      <c r="G991" s="23"/>
    </row>
    <row r="992" spans="4:7" x14ac:dyDescent="0.3">
      <c r="D992" s="23"/>
      <c r="G992" s="23"/>
    </row>
    <row r="993" spans="4:7" x14ac:dyDescent="0.3">
      <c r="D993" s="23"/>
      <c r="G993" s="23"/>
    </row>
    <row r="994" spans="4:7" x14ac:dyDescent="0.3">
      <c r="D994" s="23"/>
      <c r="G994" s="23"/>
    </row>
    <row r="995" spans="4:7" x14ac:dyDescent="0.3">
      <c r="D995" s="23"/>
      <c r="G995" s="23"/>
    </row>
    <row r="996" spans="4:7" x14ac:dyDescent="0.3">
      <c r="D996" s="23"/>
      <c r="G996" s="23"/>
    </row>
    <row r="997" spans="4:7" x14ac:dyDescent="0.3">
      <c r="D997" s="23"/>
      <c r="G997" s="23"/>
    </row>
    <row r="998" spans="4:7" x14ac:dyDescent="0.3">
      <c r="D998" s="23"/>
      <c r="G998" s="23"/>
    </row>
    <row r="999" spans="4:7" x14ac:dyDescent="0.3">
      <c r="D999" s="23"/>
      <c r="G999" s="23"/>
    </row>
    <row r="1000" spans="4:7" x14ac:dyDescent="0.3">
      <c r="D1000" s="23"/>
      <c r="G1000" s="23"/>
    </row>
  </sheetData>
  <pageMargins left="0.7" right="0.7" top="0.75" bottom="0.75" header="0.511811023622047" footer="0.511811023622047"/>
  <pageSetup paperSize="9" orientation="portrait" horizontalDpi="300" verticalDpi="30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999"/>
  <sheetViews>
    <sheetView zoomScaleNormal="100" workbookViewId="0">
      <pane ySplit="1" topLeftCell="A2" activePane="bottomLeft" state="frozen"/>
      <selection pane="bottomLeft" activeCell="A6" sqref="A6"/>
    </sheetView>
  </sheetViews>
  <sheetFormatPr defaultColWidth="8.6640625" defaultRowHeight="14.4" x14ac:dyDescent="0.3"/>
  <cols>
    <col min="1" max="1" width="10.5546875" customWidth="1"/>
    <col min="2" max="2" width="10.44140625" customWidth="1"/>
    <col min="3" max="3" width="11.77734375" customWidth="1"/>
    <col min="4" max="4" width="10.88671875" customWidth="1"/>
    <col min="5" max="5" width="15.21875" customWidth="1"/>
    <col min="6" max="6" width="9.6640625" customWidth="1"/>
    <col min="7" max="7" width="12.5546875" hidden="1" customWidth="1"/>
    <col min="8" max="8" width="12.109375" hidden="1" customWidth="1"/>
    <col min="9" max="9" width="7.88671875" hidden="1" customWidth="1"/>
    <col min="10" max="10" width="14.77734375" hidden="1" customWidth="1"/>
    <col min="11" max="11" width="11.88671875" customWidth="1"/>
    <col min="12" max="12" width="130.77734375" customWidth="1"/>
    <col min="13" max="13" width="15.6640625" bestFit="1" customWidth="1"/>
  </cols>
  <sheetData>
    <row r="1" spans="1:13" x14ac:dyDescent="0.3">
      <c r="A1" s="22" t="s">
        <v>9</v>
      </c>
      <c r="B1" s="24" t="s">
        <v>59</v>
      </c>
      <c r="C1" s="22" t="s">
        <v>58</v>
      </c>
      <c r="D1" s="22" t="s">
        <v>11</v>
      </c>
      <c r="E1" s="22" t="s">
        <v>10</v>
      </c>
      <c r="F1" s="22" t="s">
        <v>63</v>
      </c>
      <c r="G1" s="25" t="s">
        <v>112</v>
      </c>
      <c r="H1" s="25" t="s">
        <v>113</v>
      </c>
      <c r="I1" s="25" t="s">
        <v>114</v>
      </c>
      <c r="J1" s="22" t="s">
        <v>67</v>
      </c>
      <c r="K1" s="22" t="s">
        <v>115</v>
      </c>
      <c r="L1" s="22" t="s">
        <v>98</v>
      </c>
      <c r="M1" s="22" t="s">
        <v>116</v>
      </c>
    </row>
    <row r="2" spans="1:13" x14ac:dyDescent="0.3">
      <c r="A2" t="s">
        <v>117</v>
      </c>
      <c r="B2" s="13">
        <v>46171</v>
      </c>
      <c r="C2" t="s">
        <v>100</v>
      </c>
      <c r="D2">
        <v>9811224466</v>
      </c>
      <c r="E2" t="s">
        <v>101</v>
      </c>
      <c r="F2" t="s">
        <v>118</v>
      </c>
      <c r="G2" s="26">
        <v>23500</v>
      </c>
      <c r="H2" s="26">
        <v>0</v>
      </c>
      <c r="I2" s="26">
        <v>23500</v>
      </c>
      <c r="J2" t="s">
        <v>119</v>
      </c>
      <c r="K2" t="s">
        <v>40</v>
      </c>
      <c r="L2" s="27" t="s">
        <v>104</v>
      </c>
      <c r="M2" s="60">
        <v>46171.524664351899</v>
      </c>
    </row>
    <row r="3" spans="1:13" x14ac:dyDescent="0.3">
      <c r="A3" t="s">
        <v>22</v>
      </c>
      <c r="B3" s="13">
        <v>46171</v>
      </c>
      <c r="C3" t="s">
        <v>105</v>
      </c>
      <c r="D3">
        <v>9811335577</v>
      </c>
      <c r="E3" t="s">
        <v>23</v>
      </c>
      <c r="G3" s="26">
        <v>6500</v>
      </c>
      <c r="H3" s="26">
        <v>4800</v>
      </c>
      <c r="I3" s="26">
        <v>1700</v>
      </c>
      <c r="J3" t="s">
        <v>120</v>
      </c>
      <c r="K3" t="s">
        <v>40</v>
      </c>
      <c r="L3" s="27" t="s">
        <v>121</v>
      </c>
      <c r="M3" s="60">
        <v>46171.538043981498</v>
      </c>
    </row>
    <row r="4" spans="1:13" x14ac:dyDescent="0.3">
      <c r="A4" t="s">
        <v>30</v>
      </c>
      <c r="B4" s="13">
        <v>46171</v>
      </c>
      <c r="C4" t="s">
        <v>105</v>
      </c>
      <c r="D4">
        <v>9811335577</v>
      </c>
      <c r="E4" t="s">
        <v>23</v>
      </c>
      <c r="G4" s="26">
        <v>4500</v>
      </c>
      <c r="H4" s="26">
        <v>2400</v>
      </c>
      <c r="I4" s="26">
        <v>2100</v>
      </c>
      <c r="J4" t="s">
        <v>120</v>
      </c>
      <c r="K4" t="s">
        <v>40</v>
      </c>
      <c r="L4" s="27" t="s">
        <v>122</v>
      </c>
      <c r="M4" s="60">
        <v>46171.562418981499</v>
      </c>
    </row>
    <row r="5" spans="1:13" x14ac:dyDescent="0.3">
      <c r="A5" t="s">
        <v>36</v>
      </c>
      <c r="B5" s="13">
        <v>46171</v>
      </c>
      <c r="C5" t="s">
        <v>108</v>
      </c>
      <c r="D5">
        <v>9922446688</v>
      </c>
      <c r="E5" t="s">
        <v>37</v>
      </c>
      <c r="G5" s="26">
        <v>0</v>
      </c>
      <c r="H5" s="26">
        <v>0</v>
      </c>
      <c r="I5" s="26">
        <v>0</v>
      </c>
      <c r="J5" t="s">
        <v>119</v>
      </c>
      <c r="K5" t="s">
        <v>40</v>
      </c>
      <c r="L5" s="27" t="s">
        <v>111</v>
      </c>
      <c r="M5" s="60">
        <v>46171.962812500002</v>
      </c>
    </row>
    <row r="6" spans="1:13" x14ac:dyDescent="0.3">
      <c r="A6" t="s">
        <v>187</v>
      </c>
      <c r="B6" s="50">
        <v>46173</v>
      </c>
      <c r="C6" t="s">
        <v>181</v>
      </c>
      <c r="D6">
        <v>8765432109</v>
      </c>
      <c r="E6" t="s">
        <v>182</v>
      </c>
      <c r="G6" s="26">
        <v>0</v>
      </c>
      <c r="H6" s="26">
        <v>0</v>
      </c>
      <c r="I6" s="26">
        <v>0</v>
      </c>
      <c r="J6" t="s">
        <v>119</v>
      </c>
      <c r="K6" t="s">
        <v>40</v>
      </c>
      <c r="L6" s="27" t="s">
        <v>185</v>
      </c>
      <c r="M6" s="60">
        <v>46173.82267361111</v>
      </c>
    </row>
    <row r="7" spans="1:13" x14ac:dyDescent="0.3">
      <c r="G7" s="26"/>
      <c r="H7" s="26"/>
      <c r="I7" s="26"/>
      <c r="L7" s="27"/>
    </row>
    <row r="8" spans="1:13" x14ac:dyDescent="0.3">
      <c r="G8" s="26"/>
      <c r="H8" s="26"/>
      <c r="I8" s="26"/>
      <c r="L8" s="27"/>
    </row>
    <row r="9" spans="1:13" x14ac:dyDescent="0.3">
      <c r="G9" s="26"/>
      <c r="H9" s="26"/>
      <c r="I9" s="26"/>
      <c r="L9" s="27"/>
    </row>
    <row r="10" spans="1:13" x14ac:dyDescent="0.3">
      <c r="G10" s="26"/>
      <c r="H10" s="26"/>
      <c r="I10" s="26"/>
      <c r="L10" s="27"/>
    </row>
    <row r="11" spans="1:13" x14ac:dyDescent="0.3">
      <c r="G11" s="26"/>
      <c r="H11" s="26"/>
      <c r="I11" s="26"/>
      <c r="L11" s="27"/>
    </row>
    <row r="12" spans="1:13" x14ac:dyDescent="0.3">
      <c r="G12" s="26"/>
      <c r="H12" s="26"/>
      <c r="I12" s="26"/>
      <c r="L12" s="27"/>
    </row>
    <row r="13" spans="1:13" x14ac:dyDescent="0.3">
      <c r="G13" s="26"/>
      <c r="H13" s="26"/>
      <c r="I13" s="26"/>
      <c r="L13" s="27"/>
    </row>
    <row r="14" spans="1:13" x14ac:dyDescent="0.3">
      <c r="G14" s="26"/>
      <c r="H14" s="26"/>
      <c r="I14" s="26"/>
      <c r="L14" s="27"/>
    </row>
    <row r="15" spans="1:13" x14ac:dyDescent="0.3">
      <c r="G15" s="26"/>
      <c r="H15" s="26"/>
      <c r="I15" s="26"/>
      <c r="L15" s="27"/>
    </row>
    <row r="16" spans="1:13" x14ac:dyDescent="0.3">
      <c r="G16" s="26"/>
      <c r="H16" s="26"/>
      <c r="I16" s="26"/>
      <c r="L16" s="27"/>
    </row>
    <row r="17" spans="7:12" x14ac:dyDescent="0.3">
      <c r="G17" s="26"/>
      <c r="H17" s="26"/>
      <c r="I17" s="26"/>
      <c r="L17" s="27"/>
    </row>
    <row r="18" spans="7:12" x14ac:dyDescent="0.3">
      <c r="G18" s="26"/>
      <c r="H18" s="26"/>
      <c r="I18" s="26"/>
      <c r="L18" s="27"/>
    </row>
    <row r="19" spans="7:12" x14ac:dyDescent="0.3">
      <c r="G19" s="26"/>
      <c r="H19" s="26"/>
      <c r="I19" s="26"/>
      <c r="L19" s="27"/>
    </row>
    <row r="20" spans="7:12" x14ac:dyDescent="0.3">
      <c r="G20" s="26"/>
      <c r="H20" s="26"/>
      <c r="I20" s="26"/>
      <c r="L20" s="27"/>
    </row>
    <row r="21" spans="7:12" x14ac:dyDescent="0.3">
      <c r="G21" s="26"/>
      <c r="H21" s="26"/>
      <c r="I21" s="26"/>
      <c r="L21" s="27"/>
    </row>
    <row r="22" spans="7:12" x14ac:dyDescent="0.3">
      <c r="G22" s="26"/>
      <c r="H22" s="26"/>
      <c r="I22" s="26"/>
      <c r="L22" s="27"/>
    </row>
    <row r="23" spans="7:12" x14ac:dyDescent="0.3">
      <c r="G23" s="26"/>
      <c r="H23" s="26"/>
      <c r="I23" s="26"/>
      <c r="L23" s="27"/>
    </row>
    <row r="24" spans="7:12" x14ac:dyDescent="0.3">
      <c r="G24" s="26"/>
      <c r="H24" s="26"/>
      <c r="I24" s="26"/>
      <c r="L24" s="27"/>
    </row>
    <row r="25" spans="7:12" x14ac:dyDescent="0.3">
      <c r="G25" s="26"/>
      <c r="H25" s="26"/>
      <c r="I25" s="26"/>
      <c r="L25" s="27"/>
    </row>
    <row r="26" spans="7:12" x14ac:dyDescent="0.3">
      <c r="G26" s="26"/>
      <c r="H26" s="26"/>
      <c r="I26" s="26"/>
      <c r="L26" s="27"/>
    </row>
    <row r="27" spans="7:12" x14ac:dyDescent="0.3">
      <c r="G27" s="26"/>
      <c r="H27" s="26"/>
      <c r="I27" s="26"/>
      <c r="L27" s="27"/>
    </row>
    <row r="28" spans="7:12" x14ac:dyDescent="0.3">
      <c r="G28" s="26"/>
      <c r="H28" s="26"/>
      <c r="I28" s="26"/>
      <c r="L28" s="27"/>
    </row>
    <row r="29" spans="7:12" x14ac:dyDescent="0.3">
      <c r="G29" s="26"/>
      <c r="H29" s="26"/>
      <c r="I29" s="26"/>
      <c r="L29" s="27"/>
    </row>
    <row r="30" spans="7:12" x14ac:dyDescent="0.3">
      <c r="G30" s="26"/>
      <c r="H30" s="26"/>
      <c r="I30" s="26"/>
      <c r="L30" s="27"/>
    </row>
    <row r="31" spans="7:12" x14ac:dyDescent="0.3">
      <c r="G31" s="26"/>
      <c r="H31" s="26"/>
      <c r="I31" s="26"/>
      <c r="L31" s="27"/>
    </row>
    <row r="32" spans="7:12" x14ac:dyDescent="0.3">
      <c r="G32" s="26"/>
      <c r="H32" s="26"/>
      <c r="I32" s="26"/>
      <c r="L32" s="27"/>
    </row>
    <row r="33" spans="7:12" x14ac:dyDescent="0.3">
      <c r="G33" s="26"/>
      <c r="H33" s="26"/>
      <c r="I33" s="26"/>
      <c r="L33" s="27"/>
    </row>
    <row r="34" spans="7:12" x14ac:dyDescent="0.3">
      <c r="G34" s="26"/>
      <c r="H34" s="26"/>
      <c r="I34" s="26"/>
      <c r="L34" s="27"/>
    </row>
    <row r="35" spans="7:12" x14ac:dyDescent="0.3">
      <c r="G35" s="26"/>
      <c r="H35" s="26"/>
      <c r="I35" s="26"/>
      <c r="L35" s="27"/>
    </row>
    <row r="36" spans="7:12" x14ac:dyDescent="0.3">
      <c r="G36" s="26"/>
      <c r="H36" s="26"/>
      <c r="I36" s="26"/>
      <c r="L36" s="27"/>
    </row>
    <row r="37" spans="7:12" x14ac:dyDescent="0.3">
      <c r="G37" s="26"/>
      <c r="H37" s="26"/>
      <c r="I37" s="26"/>
      <c r="L37" s="27"/>
    </row>
    <row r="38" spans="7:12" x14ac:dyDescent="0.3">
      <c r="G38" s="26"/>
      <c r="H38" s="26"/>
      <c r="I38" s="26"/>
      <c r="L38" s="27"/>
    </row>
    <row r="39" spans="7:12" x14ac:dyDescent="0.3">
      <c r="G39" s="26"/>
      <c r="H39" s="26"/>
      <c r="I39" s="26"/>
      <c r="L39" s="27"/>
    </row>
    <row r="40" spans="7:12" x14ac:dyDescent="0.3">
      <c r="G40" s="26"/>
      <c r="H40" s="26"/>
      <c r="I40" s="26"/>
      <c r="L40" s="27"/>
    </row>
    <row r="41" spans="7:12" x14ac:dyDescent="0.3">
      <c r="G41" s="26"/>
      <c r="H41" s="26"/>
      <c r="I41" s="26"/>
      <c r="L41" s="27"/>
    </row>
    <row r="42" spans="7:12" x14ac:dyDescent="0.3">
      <c r="G42" s="26"/>
      <c r="H42" s="26"/>
      <c r="I42" s="26"/>
      <c r="L42" s="27"/>
    </row>
    <row r="43" spans="7:12" x14ac:dyDescent="0.3">
      <c r="G43" s="26"/>
      <c r="H43" s="26"/>
      <c r="I43" s="26"/>
      <c r="L43" s="27"/>
    </row>
    <row r="44" spans="7:12" x14ac:dyDescent="0.3">
      <c r="G44" s="26"/>
      <c r="H44" s="26"/>
      <c r="I44" s="26"/>
      <c r="L44" s="27"/>
    </row>
    <row r="45" spans="7:12" x14ac:dyDescent="0.3">
      <c r="G45" s="26"/>
      <c r="H45" s="26"/>
      <c r="I45" s="26"/>
      <c r="L45" s="27"/>
    </row>
    <row r="46" spans="7:12" x14ac:dyDescent="0.3">
      <c r="G46" s="26"/>
      <c r="H46" s="26"/>
      <c r="I46" s="26"/>
      <c r="L46" s="27"/>
    </row>
    <row r="47" spans="7:12" x14ac:dyDescent="0.3">
      <c r="G47" s="26"/>
      <c r="H47" s="26"/>
      <c r="I47" s="26"/>
      <c r="L47" s="27"/>
    </row>
    <row r="48" spans="7:12" x14ac:dyDescent="0.3">
      <c r="G48" s="26"/>
      <c r="H48" s="26"/>
      <c r="I48" s="26"/>
      <c r="L48" s="27"/>
    </row>
    <row r="49" spans="7:12" x14ac:dyDescent="0.3">
      <c r="G49" s="26"/>
      <c r="H49" s="26"/>
      <c r="I49" s="26"/>
      <c r="L49" s="27"/>
    </row>
    <row r="50" spans="7:12" x14ac:dyDescent="0.3">
      <c r="G50" s="26"/>
      <c r="H50" s="26"/>
      <c r="I50" s="26"/>
      <c r="L50" s="27"/>
    </row>
    <row r="51" spans="7:12" x14ac:dyDescent="0.3">
      <c r="G51" s="26"/>
      <c r="H51" s="26"/>
      <c r="I51" s="26"/>
      <c r="L51" s="27"/>
    </row>
    <row r="52" spans="7:12" x14ac:dyDescent="0.3">
      <c r="G52" s="26"/>
      <c r="H52" s="26"/>
      <c r="I52" s="26"/>
      <c r="L52" s="27"/>
    </row>
    <row r="53" spans="7:12" x14ac:dyDescent="0.3">
      <c r="G53" s="26"/>
      <c r="H53" s="26"/>
      <c r="I53" s="26"/>
      <c r="L53" s="27"/>
    </row>
    <row r="54" spans="7:12" x14ac:dyDescent="0.3">
      <c r="G54" s="26"/>
      <c r="H54" s="26"/>
      <c r="I54" s="26"/>
      <c r="L54" s="27"/>
    </row>
    <row r="55" spans="7:12" x14ac:dyDescent="0.3">
      <c r="G55" s="26"/>
      <c r="H55" s="26"/>
      <c r="I55" s="26"/>
      <c r="L55" s="27"/>
    </row>
    <row r="56" spans="7:12" x14ac:dyDescent="0.3">
      <c r="G56" s="26"/>
      <c r="H56" s="26"/>
      <c r="I56" s="26"/>
      <c r="L56" s="27"/>
    </row>
    <row r="57" spans="7:12" x14ac:dyDescent="0.3">
      <c r="G57" s="26"/>
      <c r="H57" s="26"/>
      <c r="I57" s="26"/>
      <c r="L57" s="27"/>
    </row>
    <row r="58" spans="7:12" x14ac:dyDescent="0.3">
      <c r="G58" s="26"/>
      <c r="H58" s="26"/>
      <c r="I58" s="26"/>
      <c r="L58" s="27"/>
    </row>
    <row r="59" spans="7:12" x14ac:dyDescent="0.3">
      <c r="G59" s="26"/>
      <c r="H59" s="26"/>
      <c r="I59" s="26"/>
      <c r="L59" s="27"/>
    </row>
    <row r="60" spans="7:12" x14ac:dyDescent="0.3">
      <c r="G60" s="26"/>
      <c r="H60" s="26"/>
      <c r="I60" s="26"/>
      <c r="L60" s="27"/>
    </row>
    <row r="61" spans="7:12" x14ac:dyDescent="0.3">
      <c r="G61" s="26"/>
      <c r="H61" s="26"/>
      <c r="I61" s="26"/>
      <c r="L61" s="27"/>
    </row>
    <row r="62" spans="7:12" x14ac:dyDescent="0.3">
      <c r="G62" s="26"/>
      <c r="H62" s="26"/>
      <c r="I62" s="26"/>
      <c r="L62" s="27"/>
    </row>
    <row r="63" spans="7:12" x14ac:dyDescent="0.3">
      <c r="G63" s="26"/>
      <c r="H63" s="26"/>
      <c r="I63" s="26"/>
      <c r="L63" s="27"/>
    </row>
    <row r="64" spans="7:12" x14ac:dyDescent="0.3">
      <c r="G64" s="26"/>
      <c r="H64" s="26"/>
      <c r="I64" s="26"/>
      <c r="L64" s="27"/>
    </row>
    <row r="65" spans="7:12" x14ac:dyDescent="0.3">
      <c r="G65" s="26"/>
      <c r="H65" s="26"/>
      <c r="I65" s="26"/>
      <c r="L65" s="27"/>
    </row>
    <row r="66" spans="7:12" x14ac:dyDescent="0.3">
      <c r="G66" s="26"/>
      <c r="H66" s="26"/>
      <c r="I66" s="26"/>
      <c r="L66" s="27"/>
    </row>
    <row r="67" spans="7:12" x14ac:dyDescent="0.3">
      <c r="G67" s="26"/>
      <c r="H67" s="26"/>
      <c r="I67" s="26"/>
      <c r="L67" s="27"/>
    </row>
    <row r="68" spans="7:12" x14ac:dyDescent="0.3">
      <c r="G68" s="26"/>
      <c r="H68" s="26"/>
      <c r="I68" s="26"/>
      <c r="L68" s="27"/>
    </row>
    <row r="69" spans="7:12" x14ac:dyDescent="0.3">
      <c r="G69" s="26"/>
      <c r="H69" s="26"/>
      <c r="I69" s="26"/>
      <c r="L69" s="27"/>
    </row>
    <row r="70" spans="7:12" x14ac:dyDescent="0.3">
      <c r="G70" s="26"/>
      <c r="H70" s="26"/>
      <c r="I70" s="26"/>
      <c r="L70" s="27"/>
    </row>
    <row r="71" spans="7:12" x14ac:dyDescent="0.3">
      <c r="G71" s="26"/>
      <c r="H71" s="26"/>
      <c r="I71" s="26"/>
      <c r="L71" s="27"/>
    </row>
    <row r="72" spans="7:12" x14ac:dyDescent="0.3">
      <c r="G72" s="26"/>
      <c r="H72" s="26"/>
      <c r="I72" s="26"/>
      <c r="L72" s="27"/>
    </row>
    <row r="73" spans="7:12" x14ac:dyDescent="0.3">
      <c r="G73" s="26"/>
      <c r="H73" s="26"/>
      <c r="I73" s="26"/>
      <c r="L73" s="27"/>
    </row>
    <row r="74" spans="7:12" x14ac:dyDescent="0.3">
      <c r="G74" s="26"/>
      <c r="H74" s="26"/>
      <c r="I74" s="26"/>
      <c r="L74" s="27"/>
    </row>
    <row r="75" spans="7:12" x14ac:dyDescent="0.3">
      <c r="G75" s="26"/>
      <c r="H75" s="26"/>
      <c r="I75" s="26"/>
      <c r="L75" s="27"/>
    </row>
    <row r="76" spans="7:12" x14ac:dyDescent="0.3">
      <c r="G76" s="26"/>
      <c r="H76" s="26"/>
      <c r="I76" s="26"/>
      <c r="L76" s="27"/>
    </row>
    <row r="77" spans="7:12" x14ac:dyDescent="0.3">
      <c r="G77" s="26"/>
      <c r="H77" s="26"/>
      <c r="I77" s="26"/>
      <c r="L77" s="27"/>
    </row>
    <row r="78" spans="7:12" x14ac:dyDescent="0.3">
      <c r="G78" s="26"/>
      <c r="H78" s="26"/>
      <c r="I78" s="26"/>
      <c r="L78" s="27"/>
    </row>
    <row r="79" spans="7:12" x14ac:dyDescent="0.3">
      <c r="G79" s="26"/>
      <c r="H79" s="26"/>
      <c r="I79" s="26"/>
      <c r="L79" s="27"/>
    </row>
    <row r="80" spans="7:12" x14ac:dyDescent="0.3">
      <c r="G80" s="26"/>
      <c r="H80" s="26"/>
      <c r="I80" s="26"/>
      <c r="L80" s="27"/>
    </row>
    <row r="81" spans="7:12" x14ac:dyDescent="0.3">
      <c r="G81" s="26"/>
      <c r="H81" s="26"/>
      <c r="I81" s="26"/>
      <c r="L81" s="27"/>
    </row>
    <row r="82" spans="7:12" x14ac:dyDescent="0.3">
      <c r="G82" s="26"/>
      <c r="H82" s="26"/>
      <c r="I82" s="26"/>
      <c r="L82" s="27"/>
    </row>
    <row r="83" spans="7:12" x14ac:dyDescent="0.3">
      <c r="G83" s="26"/>
      <c r="H83" s="26"/>
      <c r="I83" s="26"/>
      <c r="L83" s="27"/>
    </row>
    <row r="84" spans="7:12" x14ac:dyDescent="0.3">
      <c r="G84" s="26"/>
      <c r="H84" s="26"/>
      <c r="I84" s="26"/>
      <c r="L84" s="27"/>
    </row>
    <row r="85" spans="7:12" x14ac:dyDescent="0.3">
      <c r="G85" s="26"/>
      <c r="H85" s="26"/>
      <c r="I85" s="26"/>
      <c r="L85" s="27"/>
    </row>
    <row r="86" spans="7:12" x14ac:dyDescent="0.3">
      <c r="G86" s="26"/>
      <c r="H86" s="26"/>
      <c r="I86" s="26"/>
      <c r="L86" s="27"/>
    </row>
    <row r="87" spans="7:12" x14ac:dyDescent="0.3">
      <c r="G87" s="26"/>
      <c r="H87" s="26"/>
      <c r="I87" s="26"/>
      <c r="L87" s="27"/>
    </row>
    <row r="88" spans="7:12" x14ac:dyDescent="0.3">
      <c r="G88" s="26"/>
      <c r="H88" s="26"/>
      <c r="I88" s="26"/>
      <c r="L88" s="27"/>
    </row>
    <row r="89" spans="7:12" x14ac:dyDescent="0.3">
      <c r="G89" s="26"/>
      <c r="H89" s="26"/>
      <c r="I89" s="26"/>
      <c r="L89" s="27"/>
    </row>
    <row r="90" spans="7:12" x14ac:dyDescent="0.3">
      <c r="G90" s="26"/>
      <c r="H90" s="26"/>
      <c r="I90" s="26"/>
      <c r="L90" s="27"/>
    </row>
    <row r="91" spans="7:12" x14ac:dyDescent="0.3">
      <c r="G91" s="26"/>
      <c r="H91" s="26"/>
      <c r="I91" s="26"/>
      <c r="L91" s="27"/>
    </row>
    <row r="92" spans="7:12" x14ac:dyDescent="0.3">
      <c r="G92" s="26"/>
      <c r="H92" s="26"/>
      <c r="I92" s="26"/>
      <c r="L92" s="27"/>
    </row>
    <row r="93" spans="7:12" x14ac:dyDescent="0.3">
      <c r="G93" s="26"/>
      <c r="H93" s="26"/>
      <c r="I93" s="26"/>
      <c r="L93" s="27"/>
    </row>
    <row r="94" spans="7:12" x14ac:dyDescent="0.3">
      <c r="G94" s="26"/>
      <c r="H94" s="26"/>
      <c r="I94" s="26"/>
      <c r="L94" s="27"/>
    </row>
    <row r="95" spans="7:12" x14ac:dyDescent="0.3">
      <c r="G95" s="26"/>
      <c r="H95" s="26"/>
      <c r="I95" s="26"/>
      <c r="L95" s="27"/>
    </row>
    <row r="96" spans="7:12" x14ac:dyDescent="0.3">
      <c r="G96" s="26"/>
      <c r="H96" s="26"/>
      <c r="I96" s="26"/>
      <c r="L96" s="27"/>
    </row>
    <row r="97" spans="7:12" x14ac:dyDescent="0.3">
      <c r="G97" s="26"/>
      <c r="H97" s="26"/>
      <c r="I97" s="26"/>
      <c r="L97" s="27"/>
    </row>
    <row r="98" spans="7:12" x14ac:dyDescent="0.3">
      <c r="G98" s="26"/>
      <c r="H98" s="26"/>
      <c r="I98" s="26"/>
      <c r="L98" s="27"/>
    </row>
    <row r="99" spans="7:12" x14ac:dyDescent="0.3">
      <c r="G99" s="26"/>
      <c r="H99" s="26"/>
      <c r="I99" s="26"/>
      <c r="L99" s="27"/>
    </row>
    <row r="100" spans="7:12" x14ac:dyDescent="0.3">
      <c r="G100" s="26"/>
      <c r="H100" s="26"/>
      <c r="I100" s="26"/>
      <c r="L100" s="27"/>
    </row>
    <row r="101" spans="7:12" x14ac:dyDescent="0.3">
      <c r="G101" s="26"/>
      <c r="H101" s="26"/>
      <c r="I101" s="26"/>
      <c r="L101" s="27"/>
    </row>
    <row r="102" spans="7:12" x14ac:dyDescent="0.3">
      <c r="G102" s="26"/>
      <c r="H102" s="26"/>
      <c r="I102" s="26"/>
      <c r="L102" s="27"/>
    </row>
    <row r="103" spans="7:12" x14ac:dyDescent="0.3">
      <c r="G103" s="26"/>
      <c r="H103" s="26"/>
      <c r="I103" s="26"/>
      <c r="L103" s="27"/>
    </row>
    <row r="104" spans="7:12" x14ac:dyDescent="0.3">
      <c r="G104" s="26"/>
      <c r="H104" s="26"/>
      <c r="I104" s="26"/>
      <c r="L104" s="27"/>
    </row>
    <row r="105" spans="7:12" x14ac:dyDescent="0.3">
      <c r="G105" s="26"/>
      <c r="H105" s="26"/>
      <c r="I105" s="26"/>
      <c r="L105" s="27"/>
    </row>
    <row r="106" spans="7:12" x14ac:dyDescent="0.3">
      <c r="G106" s="26"/>
      <c r="H106" s="26"/>
      <c r="I106" s="26"/>
      <c r="L106" s="27"/>
    </row>
    <row r="107" spans="7:12" x14ac:dyDescent="0.3">
      <c r="G107" s="26"/>
      <c r="H107" s="26"/>
      <c r="I107" s="26"/>
      <c r="L107" s="27"/>
    </row>
    <row r="108" spans="7:12" x14ac:dyDescent="0.3">
      <c r="G108" s="26"/>
      <c r="H108" s="26"/>
      <c r="I108" s="26"/>
      <c r="L108" s="27"/>
    </row>
    <row r="109" spans="7:12" x14ac:dyDescent="0.3">
      <c r="G109" s="26"/>
      <c r="H109" s="26"/>
      <c r="I109" s="26"/>
      <c r="L109" s="27"/>
    </row>
    <row r="110" spans="7:12" x14ac:dyDescent="0.3">
      <c r="G110" s="26"/>
      <c r="H110" s="26"/>
      <c r="I110" s="26"/>
      <c r="L110" s="27"/>
    </row>
    <row r="111" spans="7:12" x14ac:dyDescent="0.3">
      <c r="G111" s="26"/>
      <c r="H111" s="26"/>
      <c r="I111" s="26"/>
      <c r="L111" s="27"/>
    </row>
    <row r="112" spans="7:12" x14ac:dyDescent="0.3">
      <c r="G112" s="26"/>
      <c r="H112" s="26"/>
      <c r="I112" s="26"/>
      <c r="L112" s="27"/>
    </row>
    <row r="113" spans="7:12" x14ac:dyDescent="0.3">
      <c r="G113" s="26"/>
      <c r="H113" s="26"/>
      <c r="I113" s="26"/>
      <c r="L113" s="27"/>
    </row>
    <row r="114" spans="7:12" x14ac:dyDescent="0.3">
      <c r="G114" s="26"/>
      <c r="H114" s="26"/>
      <c r="I114" s="26"/>
      <c r="L114" s="27"/>
    </row>
    <row r="115" spans="7:12" x14ac:dyDescent="0.3">
      <c r="G115" s="26"/>
      <c r="H115" s="26"/>
      <c r="I115" s="26"/>
      <c r="L115" s="27"/>
    </row>
    <row r="116" spans="7:12" x14ac:dyDescent="0.3">
      <c r="G116" s="26"/>
      <c r="H116" s="26"/>
      <c r="I116" s="26"/>
      <c r="L116" s="27"/>
    </row>
    <row r="117" spans="7:12" x14ac:dyDescent="0.3">
      <c r="G117" s="26"/>
      <c r="H117" s="26"/>
      <c r="I117" s="26"/>
      <c r="L117" s="27"/>
    </row>
    <row r="118" spans="7:12" x14ac:dyDescent="0.3">
      <c r="G118" s="26"/>
      <c r="H118" s="26"/>
      <c r="I118" s="26"/>
      <c r="L118" s="27"/>
    </row>
    <row r="119" spans="7:12" x14ac:dyDescent="0.3">
      <c r="G119" s="26"/>
      <c r="H119" s="26"/>
      <c r="I119" s="26"/>
      <c r="L119" s="27"/>
    </row>
    <row r="120" spans="7:12" x14ac:dyDescent="0.3">
      <c r="G120" s="26"/>
      <c r="H120" s="26"/>
      <c r="I120" s="26"/>
      <c r="L120" s="27"/>
    </row>
    <row r="121" spans="7:12" x14ac:dyDescent="0.3">
      <c r="G121" s="26"/>
      <c r="H121" s="26"/>
      <c r="I121" s="26"/>
      <c r="L121" s="27"/>
    </row>
    <row r="122" spans="7:12" x14ac:dyDescent="0.3">
      <c r="G122" s="26"/>
      <c r="H122" s="26"/>
      <c r="I122" s="26"/>
      <c r="L122" s="27"/>
    </row>
    <row r="123" spans="7:12" x14ac:dyDescent="0.3">
      <c r="G123" s="26"/>
      <c r="H123" s="26"/>
      <c r="I123" s="26"/>
      <c r="L123" s="27"/>
    </row>
    <row r="124" spans="7:12" x14ac:dyDescent="0.3">
      <c r="G124" s="26"/>
      <c r="H124" s="26"/>
      <c r="I124" s="26"/>
      <c r="L124" s="27"/>
    </row>
    <row r="125" spans="7:12" x14ac:dyDescent="0.3">
      <c r="G125" s="26"/>
      <c r="H125" s="26"/>
      <c r="I125" s="26"/>
      <c r="L125" s="27"/>
    </row>
    <row r="126" spans="7:12" x14ac:dyDescent="0.3">
      <c r="G126" s="26"/>
      <c r="H126" s="26"/>
      <c r="I126" s="26"/>
      <c r="L126" s="27"/>
    </row>
    <row r="127" spans="7:12" x14ac:dyDescent="0.3">
      <c r="G127" s="26"/>
      <c r="H127" s="26"/>
      <c r="I127" s="26"/>
      <c r="L127" s="27"/>
    </row>
    <row r="128" spans="7:12" x14ac:dyDescent="0.3">
      <c r="G128" s="26"/>
      <c r="H128" s="26"/>
      <c r="I128" s="26"/>
      <c r="L128" s="27"/>
    </row>
    <row r="129" spans="7:12" x14ac:dyDescent="0.3">
      <c r="G129" s="26"/>
      <c r="H129" s="26"/>
      <c r="I129" s="26"/>
      <c r="L129" s="27"/>
    </row>
    <row r="130" spans="7:12" x14ac:dyDescent="0.3">
      <c r="G130" s="26"/>
      <c r="H130" s="26"/>
      <c r="I130" s="26"/>
      <c r="L130" s="27"/>
    </row>
    <row r="131" spans="7:12" x14ac:dyDescent="0.3">
      <c r="G131" s="26"/>
      <c r="H131" s="26"/>
      <c r="I131" s="26"/>
      <c r="L131" s="27"/>
    </row>
    <row r="132" spans="7:12" x14ac:dyDescent="0.3">
      <c r="G132" s="26"/>
      <c r="H132" s="26"/>
      <c r="I132" s="26"/>
      <c r="L132" s="27"/>
    </row>
    <row r="133" spans="7:12" x14ac:dyDescent="0.3">
      <c r="G133" s="26"/>
      <c r="H133" s="26"/>
      <c r="I133" s="26"/>
      <c r="L133" s="27"/>
    </row>
    <row r="134" spans="7:12" x14ac:dyDescent="0.3">
      <c r="G134" s="26"/>
      <c r="H134" s="26"/>
      <c r="I134" s="26"/>
      <c r="L134" s="27"/>
    </row>
    <row r="135" spans="7:12" x14ac:dyDescent="0.3">
      <c r="G135" s="26"/>
      <c r="H135" s="26"/>
      <c r="I135" s="26"/>
      <c r="L135" s="27"/>
    </row>
    <row r="136" spans="7:12" x14ac:dyDescent="0.3">
      <c r="G136" s="26"/>
      <c r="H136" s="26"/>
      <c r="I136" s="26"/>
      <c r="L136" s="27"/>
    </row>
    <row r="137" spans="7:12" x14ac:dyDescent="0.3">
      <c r="G137" s="26"/>
      <c r="H137" s="26"/>
      <c r="I137" s="26"/>
      <c r="L137" s="27"/>
    </row>
    <row r="138" spans="7:12" x14ac:dyDescent="0.3">
      <c r="G138" s="26"/>
      <c r="H138" s="26"/>
      <c r="I138" s="26"/>
      <c r="L138" s="27"/>
    </row>
    <row r="139" spans="7:12" x14ac:dyDescent="0.3">
      <c r="G139" s="26"/>
      <c r="H139" s="26"/>
      <c r="I139" s="26"/>
      <c r="L139" s="27"/>
    </row>
    <row r="140" spans="7:12" x14ac:dyDescent="0.3">
      <c r="G140" s="26"/>
      <c r="H140" s="26"/>
      <c r="I140" s="26"/>
      <c r="L140" s="27"/>
    </row>
    <row r="141" spans="7:12" x14ac:dyDescent="0.3">
      <c r="G141" s="26"/>
      <c r="H141" s="26"/>
      <c r="I141" s="26"/>
      <c r="L141" s="27"/>
    </row>
    <row r="142" spans="7:12" x14ac:dyDescent="0.3">
      <c r="G142" s="26"/>
      <c r="H142" s="26"/>
      <c r="I142" s="26"/>
      <c r="L142" s="27"/>
    </row>
    <row r="143" spans="7:12" x14ac:dyDescent="0.3">
      <c r="G143" s="26"/>
      <c r="H143" s="26"/>
      <c r="I143" s="26"/>
      <c r="L143" s="27"/>
    </row>
    <row r="144" spans="7:12" x14ac:dyDescent="0.3">
      <c r="G144" s="26"/>
      <c r="H144" s="26"/>
      <c r="I144" s="26"/>
      <c r="L144" s="27"/>
    </row>
    <row r="145" spans="7:12" x14ac:dyDescent="0.3">
      <c r="G145" s="26"/>
      <c r="H145" s="26"/>
      <c r="I145" s="26"/>
      <c r="L145" s="27"/>
    </row>
    <row r="146" spans="7:12" x14ac:dyDescent="0.3">
      <c r="G146" s="26"/>
      <c r="H146" s="26"/>
      <c r="I146" s="26"/>
      <c r="L146" s="27"/>
    </row>
    <row r="147" spans="7:12" x14ac:dyDescent="0.3">
      <c r="G147" s="26"/>
      <c r="H147" s="26"/>
      <c r="I147" s="26"/>
      <c r="L147" s="27"/>
    </row>
    <row r="148" spans="7:12" x14ac:dyDescent="0.3">
      <c r="G148" s="26"/>
      <c r="H148" s="26"/>
      <c r="I148" s="26"/>
      <c r="L148" s="27"/>
    </row>
    <row r="149" spans="7:12" x14ac:dyDescent="0.3">
      <c r="G149" s="26"/>
      <c r="H149" s="26"/>
      <c r="I149" s="26"/>
      <c r="L149" s="27"/>
    </row>
    <row r="150" spans="7:12" x14ac:dyDescent="0.3">
      <c r="G150" s="26"/>
      <c r="H150" s="26"/>
      <c r="I150" s="26"/>
      <c r="L150" s="27"/>
    </row>
    <row r="151" spans="7:12" x14ac:dyDescent="0.3">
      <c r="G151" s="26"/>
      <c r="H151" s="26"/>
      <c r="I151" s="26"/>
      <c r="L151" s="27"/>
    </row>
    <row r="152" spans="7:12" x14ac:dyDescent="0.3">
      <c r="G152" s="26"/>
      <c r="H152" s="26"/>
      <c r="I152" s="26"/>
      <c r="L152" s="27"/>
    </row>
    <row r="153" spans="7:12" x14ac:dyDescent="0.3">
      <c r="G153" s="26"/>
      <c r="H153" s="26"/>
      <c r="I153" s="26"/>
      <c r="L153" s="27"/>
    </row>
    <row r="154" spans="7:12" x14ac:dyDescent="0.3">
      <c r="G154" s="26"/>
      <c r="H154" s="26"/>
      <c r="I154" s="26"/>
      <c r="L154" s="27"/>
    </row>
    <row r="155" spans="7:12" x14ac:dyDescent="0.3">
      <c r="G155" s="26"/>
      <c r="H155" s="26"/>
      <c r="I155" s="26"/>
      <c r="L155" s="27"/>
    </row>
    <row r="156" spans="7:12" x14ac:dyDescent="0.3">
      <c r="G156" s="26"/>
      <c r="H156" s="26"/>
      <c r="I156" s="26"/>
      <c r="L156" s="27"/>
    </row>
    <row r="157" spans="7:12" x14ac:dyDescent="0.3">
      <c r="G157" s="26"/>
      <c r="H157" s="26"/>
      <c r="I157" s="26"/>
      <c r="L157" s="27"/>
    </row>
    <row r="158" spans="7:12" x14ac:dyDescent="0.3">
      <c r="G158" s="26"/>
      <c r="H158" s="26"/>
      <c r="I158" s="26"/>
      <c r="L158" s="27"/>
    </row>
    <row r="159" spans="7:12" x14ac:dyDescent="0.3">
      <c r="G159" s="26"/>
      <c r="H159" s="26"/>
      <c r="I159" s="26"/>
      <c r="L159" s="27"/>
    </row>
    <row r="160" spans="7:12" x14ac:dyDescent="0.3">
      <c r="G160" s="26"/>
      <c r="H160" s="26"/>
      <c r="I160" s="26"/>
      <c r="L160" s="27"/>
    </row>
    <row r="161" spans="7:12" x14ac:dyDescent="0.3">
      <c r="G161" s="26"/>
      <c r="H161" s="26"/>
      <c r="I161" s="26"/>
      <c r="L161" s="27"/>
    </row>
    <row r="162" spans="7:12" x14ac:dyDescent="0.3">
      <c r="G162" s="26"/>
      <c r="H162" s="26"/>
      <c r="I162" s="26"/>
      <c r="L162" s="27"/>
    </row>
    <row r="163" spans="7:12" x14ac:dyDescent="0.3">
      <c r="G163" s="26"/>
      <c r="H163" s="26"/>
      <c r="I163" s="26"/>
      <c r="L163" s="27"/>
    </row>
    <row r="164" spans="7:12" x14ac:dyDescent="0.3">
      <c r="G164" s="26"/>
      <c r="H164" s="26"/>
      <c r="I164" s="26"/>
      <c r="L164" s="27"/>
    </row>
    <row r="165" spans="7:12" x14ac:dyDescent="0.3">
      <c r="G165" s="26"/>
      <c r="H165" s="26"/>
      <c r="I165" s="26"/>
      <c r="L165" s="27"/>
    </row>
    <row r="166" spans="7:12" x14ac:dyDescent="0.3">
      <c r="G166" s="26"/>
      <c r="H166" s="26"/>
      <c r="I166" s="26"/>
      <c r="L166" s="27"/>
    </row>
    <row r="167" spans="7:12" x14ac:dyDescent="0.3">
      <c r="G167" s="26"/>
      <c r="H167" s="26"/>
      <c r="I167" s="26"/>
      <c r="L167" s="27"/>
    </row>
    <row r="168" spans="7:12" x14ac:dyDescent="0.3">
      <c r="G168" s="26"/>
      <c r="H168" s="26"/>
      <c r="I168" s="26"/>
      <c r="L168" s="27"/>
    </row>
    <row r="169" spans="7:12" x14ac:dyDescent="0.3">
      <c r="G169" s="26"/>
      <c r="H169" s="26"/>
      <c r="I169" s="26"/>
      <c r="L169" s="27"/>
    </row>
    <row r="170" spans="7:12" x14ac:dyDescent="0.3">
      <c r="G170" s="26"/>
      <c r="H170" s="26"/>
      <c r="I170" s="26"/>
      <c r="L170" s="27"/>
    </row>
    <row r="171" spans="7:12" x14ac:dyDescent="0.3">
      <c r="G171" s="26"/>
      <c r="H171" s="26"/>
      <c r="I171" s="26"/>
      <c r="L171" s="27"/>
    </row>
    <row r="172" spans="7:12" x14ac:dyDescent="0.3">
      <c r="G172" s="26"/>
      <c r="H172" s="26"/>
      <c r="I172" s="26"/>
      <c r="L172" s="27"/>
    </row>
    <row r="173" spans="7:12" x14ac:dyDescent="0.3">
      <c r="G173" s="26"/>
      <c r="H173" s="26"/>
      <c r="I173" s="26"/>
      <c r="L173" s="27"/>
    </row>
    <row r="174" spans="7:12" x14ac:dyDescent="0.3">
      <c r="G174" s="26"/>
      <c r="H174" s="26"/>
      <c r="I174" s="26"/>
      <c r="L174" s="27"/>
    </row>
    <row r="175" spans="7:12" x14ac:dyDescent="0.3">
      <c r="G175" s="26"/>
      <c r="H175" s="26"/>
      <c r="I175" s="26"/>
      <c r="L175" s="27"/>
    </row>
    <row r="176" spans="7:12" x14ac:dyDescent="0.3">
      <c r="G176" s="26"/>
      <c r="H176" s="26"/>
      <c r="I176" s="26"/>
      <c r="L176" s="27"/>
    </row>
    <row r="177" spans="7:12" x14ac:dyDescent="0.3">
      <c r="G177" s="26"/>
      <c r="H177" s="26"/>
      <c r="I177" s="26"/>
      <c r="L177" s="27"/>
    </row>
    <row r="178" spans="7:12" x14ac:dyDescent="0.3">
      <c r="G178" s="26"/>
      <c r="H178" s="26"/>
      <c r="I178" s="26"/>
      <c r="L178" s="27"/>
    </row>
    <row r="179" spans="7:12" x14ac:dyDescent="0.3">
      <c r="G179" s="26"/>
      <c r="H179" s="26"/>
      <c r="I179" s="26"/>
      <c r="L179" s="27"/>
    </row>
    <row r="180" spans="7:12" x14ac:dyDescent="0.3">
      <c r="G180" s="26"/>
      <c r="H180" s="26"/>
      <c r="I180" s="26"/>
      <c r="L180" s="27"/>
    </row>
    <row r="181" spans="7:12" x14ac:dyDescent="0.3">
      <c r="G181" s="26"/>
      <c r="H181" s="26"/>
      <c r="I181" s="26"/>
      <c r="L181" s="27"/>
    </row>
    <row r="182" spans="7:12" x14ac:dyDescent="0.3">
      <c r="G182" s="26"/>
      <c r="H182" s="26"/>
      <c r="I182" s="26"/>
      <c r="L182" s="27"/>
    </row>
    <row r="183" spans="7:12" x14ac:dyDescent="0.3">
      <c r="G183" s="26"/>
      <c r="H183" s="26"/>
      <c r="I183" s="26"/>
      <c r="L183" s="27"/>
    </row>
    <row r="184" spans="7:12" x14ac:dyDescent="0.3">
      <c r="G184" s="26"/>
      <c r="H184" s="26"/>
      <c r="I184" s="26"/>
      <c r="L184" s="27"/>
    </row>
    <row r="185" spans="7:12" x14ac:dyDescent="0.3">
      <c r="G185" s="26"/>
      <c r="H185" s="26"/>
      <c r="I185" s="26"/>
      <c r="L185" s="27"/>
    </row>
    <row r="186" spans="7:12" x14ac:dyDescent="0.3">
      <c r="G186" s="26"/>
      <c r="H186" s="26"/>
      <c r="I186" s="26"/>
      <c r="L186" s="27"/>
    </row>
    <row r="187" spans="7:12" x14ac:dyDescent="0.3">
      <c r="G187" s="26"/>
      <c r="H187" s="26"/>
      <c r="I187" s="26"/>
      <c r="L187" s="27"/>
    </row>
    <row r="188" spans="7:12" x14ac:dyDescent="0.3">
      <c r="G188" s="26"/>
      <c r="H188" s="26"/>
      <c r="I188" s="26"/>
      <c r="L188" s="27"/>
    </row>
    <row r="189" spans="7:12" x14ac:dyDescent="0.3">
      <c r="G189" s="26"/>
      <c r="H189" s="26"/>
      <c r="I189" s="26"/>
      <c r="L189" s="27"/>
    </row>
    <row r="190" spans="7:12" x14ac:dyDescent="0.3">
      <c r="G190" s="26"/>
      <c r="H190" s="26"/>
      <c r="I190" s="26"/>
      <c r="L190" s="27"/>
    </row>
    <row r="191" spans="7:12" x14ac:dyDescent="0.3">
      <c r="G191" s="26"/>
      <c r="H191" s="26"/>
      <c r="I191" s="26"/>
      <c r="L191" s="27"/>
    </row>
    <row r="192" spans="7:12" x14ac:dyDescent="0.3">
      <c r="G192" s="26"/>
      <c r="H192" s="26"/>
      <c r="I192" s="26"/>
      <c r="L192" s="27"/>
    </row>
    <row r="193" spans="7:12" x14ac:dyDescent="0.3">
      <c r="G193" s="26"/>
      <c r="H193" s="26"/>
      <c r="I193" s="26"/>
      <c r="L193" s="27"/>
    </row>
    <row r="194" spans="7:12" x14ac:dyDescent="0.3">
      <c r="G194" s="26"/>
      <c r="H194" s="26"/>
      <c r="I194" s="26"/>
      <c r="L194" s="27"/>
    </row>
    <row r="195" spans="7:12" x14ac:dyDescent="0.3">
      <c r="G195" s="26"/>
      <c r="H195" s="26"/>
      <c r="I195" s="26"/>
      <c r="L195" s="27"/>
    </row>
    <row r="196" spans="7:12" x14ac:dyDescent="0.3">
      <c r="G196" s="26"/>
      <c r="H196" s="26"/>
      <c r="I196" s="26"/>
      <c r="L196" s="27"/>
    </row>
    <row r="197" spans="7:12" x14ac:dyDescent="0.3">
      <c r="G197" s="26"/>
      <c r="H197" s="26"/>
      <c r="I197" s="26"/>
      <c r="L197" s="27"/>
    </row>
    <row r="198" spans="7:12" x14ac:dyDescent="0.3">
      <c r="G198" s="26"/>
      <c r="H198" s="26"/>
      <c r="I198" s="26"/>
      <c r="L198" s="27"/>
    </row>
    <row r="199" spans="7:12" x14ac:dyDescent="0.3">
      <c r="G199" s="26"/>
      <c r="H199" s="26"/>
      <c r="I199" s="26"/>
      <c r="L199" s="27"/>
    </row>
    <row r="200" spans="7:12" x14ac:dyDescent="0.3">
      <c r="G200" s="26"/>
      <c r="H200" s="26"/>
      <c r="I200" s="26"/>
      <c r="L200" s="27"/>
    </row>
    <row r="201" spans="7:12" x14ac:dyDescent="0.3">
      <c r="G201" s="26"/>
      <c r="H201" s="26"/>
      <c r="I201" s="26"/>
      <c r="L201" s="27"/>
    </row>
    <row r="202" spans="7:12" x14ac:dyDescent="0.3">
      <c r="G202" s="26"/>
      <c r="H202" s="26"/>
      <c r="I202" s="26"/>
      <c r="L202" s="27"/>
    </row>
    <row r="203" spans="7:12" x14ac:dyDescent="0.3">
      <c r="G203" s="26"/>
      <c r="H203" s="26"/>
      <c r="I203" s="26"/>
      <c r="L203" s="27"/>
    </row>
    <row r="204" spans="7:12" x14ac:dyDescent="0.3">
      <c r="G204" s="26"/>
      <c r="H204" s="26"/>
      <c r="I204" s="26"/>
      <c r="L204" s="27"/>
    </row>
    <row r="205" spans="7:12" x14ac:dyDescent="0.3">
      <c r="G205" s="26"/>
      <c r="H205" s="26"/>
      <c r="I205" s="26"/>
      <c r="L205" s="27"/>
    </row>
    <row r="206" spans="7:12" x14ac:dyDescent="0.3">
      <c r="G206" s="26"/>
      <c r="H206" s="26"/>
      <c r="I206" s="26"/>
      <c r="L206" s="27"/>
    </row>
    <row r="207" spans="7:12" x14ac:dyDescent="0.3">
      <c r="G207" s="26"/>
      <c r="H207" s="26"/>
      <c r="I207" s="26"/>
      <c r="L207" s="27"/>
    </row>
    <row r="208" spans="7:12" x14ac:dyDescent="0.3">
      <c r="G208" s="26"/>
      <c r="H208" s="26"/>
      <c r="I208" s="26"/>
      <c r="L208" s="27"/>
    </row>
    <row r="209" spans="7:12" x14ac:dyDescent="0.3">
      <c r="G209" s="26"/>
      <c r="H209" s="26"/>
      <c r="I209" s="26"/>
      <c r="L209" s="27"/>
    </row>
    <row r="210" spans="7:12" x14ac:dyDescent="0.3">
      <c r="G210" s="26"/>
      <c r="H210" s="26"/>
      <c r="I210" s="26"/>
      <c r="L210" s="27"/>
    </row>
    <row r="211" spans="7:12" x14ac:dyDescent="0.3">
      <c r="G211" s="26"/>
      <c r="H211" s="26"/>
      <c r="I211" s="26"/>
      <c r="L211" s="27"/>
    </row>
    <row r="212" spans="7:12" x14ac:dyDescent="0.3">
      <c r="G212" s="26"/>
      <c r="H212" s="26"/>
      <c r="I212" s="26"/>
      <c r="L212" s="27"/>
    </row>
    <row r="213" spans="7:12" x14ac:dyDescent="0.3">
      <c r="G213" s="26"/>
      <c r="H213" s="26"/>
      <c r="I213" s="26"/>
      <c r="L213" s="27"/>
    </row>
    <row r="214" spans="7:12" x14ac:dyDescent="0.3">
      <c r="G214" s="26"/>
      <c r="H214" s="26"/>
      <c r="I214" s="26"/>
      <c r="L214" s="27"/>
    </row>
    <row r="215" spans="7:12" x14ac:dyDescent="0.3">
      <c r="G215" s="26"/>
      <c r="H215" s="26"/>
      <c r="I215" s="26"/>
      <c r="L215" s="27"/>
    </row>
    <row r="216" spans="7:12" x14ac:dyDescent="0.3">
      <c r="G216" s="26"/>
      <c r="H216" s="26"/>
      <c r="I216" s="26"/>
      <c r="L216" s="27"/>
    </row>
    <row r="217" spans="7:12" x14ac:dyDescent="0.3">
      <c r="G217" s="26"/>
      <c r="H217" s="26"/>
      <c r="I217" s="26"/>
      <c r="L217" s="27"/>
    </row>
    <row r="218" spans="7:12" x14ac:dyDescent="0.3">
      <c r="G218" s="26"/>
      <c r="H218" s="26"/>
      <c r="I218" s="26"/>
      <c r="L218" s="27"/>
    </row>
    <row r="219" spans="7:12" x14ac:dyDescent="0.3">
      <c r="G219" s="26"/>
      <c r="H219" s="26"/>
      <c r="I219" s="26"/>
      <c r="L219" s="27"/>
    </row>
    <row r="220" spans="7:12" x14ac:dyDescent="0.3">
      <c r="G220" s="26"/>
      <c r="H220" s="26"/>
      <c r="I220" s="26"/>
      <c r="L220" s="27"/>
    </row>
    <row r="221" spans="7:12" x14ac:dyDescent="0.3">
      <c r="G221" s="26"/>
      <c r="H221" s="26"/>
      <c r="I221" s="26"/>
      <c r="L221" s="27"/>
    </row>
    <row r="222" spans="7:12" x14ac:dyDescent="0.3">
      <c r="G222" s="26"/>
      <c r="H222" s="26"/>
      <c r="I222" s="26"/>
      <c r="L222" s="27"/>
    </row>
    <row r="223" spans="7:12" x14ac:dyDescent="0.3">
      <c r="G223" s="26"/>
      <c r="H223" s="26"/>
      <c r="I223" s="26"/>
      <c r="L223" s="27"/>
    </row>
    <row r="224" spans="7:12" x14ac:dyDescent="0.3">
      <c r="G224" s="26"/>
      <c r="H224" s="26"/>
      <c r="I224" s="26"/>
      <c r="L224" s="27"/>
    </row>
    <row r="225" spans="7:12" x14ac:dyDescent="0.3">
      <c r="G225" s="26"/>
      <c r="H225" s="26"/>
      <c r="I225" s="26"/>
      <c r="L225" s="27"/>
    </row>
    <row r="226" spans="7:12" x14ac:dyDescent="0.3">
      <c r="G226" s="26"/>
      <c r="H226" s="26"/>
      <c r="I226" s="26"/>
      <c r="L226" s="27"/>
    </row>
    <row r="227" spans="7:12" x14ac:dyDescent="0.3">
      <c r="G227" s="26"/>
      <c r="H227" s="26"/>
      <c r="I227" s="26"/>
      <c r="L227" s="27"/>
    </row>
    <row r="228" spans="7:12" x14ac:dyDescent="0.3">
      <c r="G228" s="26"/>
      <c r="H228" s="26"/>
      <c r="I228" s="26"/>
      <c r="L228" s="27"/>
    </row>
    <row r="229" spans="7:12" x14ac:dyDescent="0.3">
      <c r="G229" s="26"/>
      <c r="H229" s="26"/>
      <c r="I229" s="26"/>
      <c r="L229" s="27"/>
    </row>
    <row r="230" spans="7:12" x14ac:dyDescent="0.3">
      <c r="G230" s="26"/>
      <c r="H230" s="26"/>
      <c r="I230" s="26"/>
      <c r="L230" s="27"/>
    </row>
    <row r="231" spans="7:12" x14ac:dyDescent="0.3">
      <c r="G231" s="26"/>
      <c r="H231" s="26"/>
      <c r="I231" s="26"/>
      <c r="L231" s="27"/>
    </row>
    <row r="232" spans="7:12" x14ac:dyDescent="0.3">
      <c r="G232" s="26"/>
      <c r="H232" s="26"/>
      <c r="I232" s="26"/>
      <c r="L232" s="27"/>
    </row>
    <row r="233" spans="7:12" x14ac:dyDescent="0.3">
      <c r="G233" s="26"/>
      <c r="H233" s="26"/>
      <c r="I233" s="26"/>
      <c r="L233" s="27"/>
    </row>
    <row r="234" spans="7:12" x14ac:dyDescent="0.3">
      <c r="G234" s="26"/>
      <c r="H234" s="26"/>
      <c r="I234" s="26"/>
      <c r="L234" s="27"/>
    </row>
    <row r="235" spans="7:12" x14ac:dyDescent="0.3">
      <c r="G235" s="26"/>
      <c r="H235" s="26"/>
      <c r="I235" s="26"/>
      <c r="L235" s="27"/>
    </row>
    <row r="236" spans="7:12" x14ac:dyDescent="0.3">
      <c r="G236" s="26"/>
      <c r="H236" s="26"/>
      <c r="I236" s="26"/>
      <c r="L236" s="27"/>
    </row>
    <row r="237" spans="7:12" x14ac:dyDescent="0.3">
      <c r="G237" s="26"/>
      <c r="H237" s="26"/>
      <c r="I237" s="26"/>
      <c r="L237" s="27"/>
    </row>
    <row r="238" spans="7:12" x14ac:dyDescent="0.3">
      <c r="G238" s="26"/>
      <c r="H238" s="26"/>
      <c r="I238" s="26"/>
      <c r="L238" s="27"/>
    </row>
    <row r="239" spans="7:12" x14ac:dyDescent="0.3">
      <c r="G239" s="26"/>
      <c r="H239" s="26"/>
      <c r="I239" s="26"/>
      <c r="L239" s="27"/>
    </row>
    <row r="240" spans="7:12" x14ac:dyDescent="0.3">
      <c r="G240" s="26"/>
      <c r="H240" s="26"/>
      <c r="I240" s="26"/>
      <c r="L240" s="27"/>
    </row>
    <row r="241" spans="7:12" x14ac:dyDescent="0.3">
      <c r="G241" s="26"/>
      <c r="H241" s="26"/>
      <c r="I241" s="26"/>
      <c r="L241" s="27"/>
    </row>
    <row r="242" spans="7:12" x14ac:dyDescent="0.3">
      <c r="G242" s="26"/>
      <c r="H242" s="26"/>
      <c r="I242" s="26"/>
      <c r="L242" s="27"/>
    </row>
    <row r="243" spans="7:12" x14ac:dyDescent="0.3">
      <c r="G243" s="26"/>
      <c r="H243" s="26"/>
      <c r="I243" s="26"/>
      <c r="L243" s="27"/>
    </row>
    <row r="244" spans="7:12" x14ac:dyDescent="0.3">
      <c r="G244" s="26"/>
      <c r="H244" s="26"/>
      <c r="I244" s="26"/>
      <c r="L244" s="27"/>
    </row>
    <row r="245" spans="7:12" x14ac:dyDescent="0.3">
      <c r="G245" s="26"/>
      <c r="H245" s="26"/>
      <c r="I245" s="26"/>
      <c r="L245" s="27"/>
    </row>
    <row r="246" spans="7:12" x14ac:dyDescent="0.3">
      <c r="G246" s="26"/>
      <c r="H246" s="26"/>
      <c r="I246" s="26"/>
      <c r="L246" s="27"/>
    </row>
    <row r="247" spans="7:12" x14ac:dyDescent="0.3">
      <c r="G247" s="26"/>
      <c r="H247" s="26"/>
      <c r="I247" s="26"/>
      <c r="L247" s="27"/>
    </row>
    <row r="248" spans="7:12" x14ac:dyDescent="0.3">
      <c r="G248" s="26"/>
      <c r="H248" s="26"/>
      <c r="I248" s="26"/>
      <c r="L248" s="27"/>
    </row>
    <row r="249" spans="7:12" x14ac:dyDescent="0.3">
      <c r="G249" s="26"/>
      <c r="H249" s="26"/>
      <c r="I249" s="26"/>
      <c r="L249" s="27"/>
    </row>
    <row r="250" spans="7:12" x14ac:dyDescent="0.3">
      <c r="G250" s="26"/>
      <c r="H250" s="26"/>
      <c r="I250" s="26"/>
      <c r="L250" s="27"/>
    </row>
    <row r="251" spans="7:12" x14ac:dyDescent="0.3">
      <c r="G251" s="26"/>
      <c r="H251" s="26"/>
      <c r="I251" s="26"/>
      <c r="L251" s="27"/>
    </row>
    <row r="252" spans="7:12" x14ac:dyDescent="0.3">
      <c r="G252" s="26"/>
      <c r="H252" s="26"/>
      <c r="I252" s="26"/>
      <c r="L252" s="27"/>
    </row>
    <row r="253" spans="7:12" x14ac:dyDescent="0.3">
      <c r="G253" s="26"/>
      <c r="H253" s="26"/>
      <c r="I253" s="26"/>
      <c r="L253" s="27"/>
    </row>
    <row r="254" spans="7:12" x14ac:dyDescent="0.3">
      <c r="G254" s="26"/>
      <c r="H254" s="26"/>
      <c r="I254" s="26"/>
      <c r="L254" s="27"/>
    </row>
    <row r="255" spans="7:12" x14ac:dyDescent="0.3">
      <c r="G255" s="26"/>
      <c r="H255" s="26"/>
      <c r="I255" s="26"/>
      <c r="L255" s="27"/>
    </row>
    <row r="256" spans="7:12" x14ac:dyDescent="0.3">
      <c r="G256" s="26"/>
      <c r="H256" s="26"/>
      <c r="I256" s="26"/>
      <c r="L256" s="27"/>
    </row>
    <row r="257" spans="7:12" x14ac:dyDescent="0.3">
      <c r="G257" s="26"/>
      <c r="H257" s="26"/>
      <c r="I257" s="26"/>
      <c r="L257" s="27"/>
    </row>
    <row r="258" spans="7:12" x14ac:dyDescent="0.3">
      <c r="G258" s="26"/>
      <c r="H258" s="26"/>
      <c r="I258" s="26"/>
      <c r="L258" s="27"/>
    </row>
    <row r="259" spans="7:12" x14ac:dyDescent="0.3">
      <c r="G259" s="26"/>
      <c r="H259" s="26"/>
      <c r="I259" s="26"/>
      <c r="L259" s="27"/>
    </row>
    <row r="260" spans="7:12" x14ac:dyDescent="0.3">
      <c r="G260" s="26"/>
      <c r="H260" s="26"/>
      <c r="I260" s="26"/>
      <c r="L260" s="27"/>
    </row>
    <row r="261" spans="7:12" x14ac:dyDescent="0.3">
      <c r="G261" s="26"/>
      <c r="H261" s="26"/>
      <c r="I261" s="26"/>
      <c r="L261" s="27"/>
    </row>
    <row r="262" spans="7:12" x14ac:dyDescent="0.3">
      <c r="G262" s="26"/>
      <c r="H262" s="26"/>
      <c r="I262" s="26"/>
      <c r="L262" s="27"/>
    </row>
    <row r="263" spans="7:12" x14ac:dyDescent="0.3">
      <c r="G263" s="26"/>
      <c r="H263" s="26"/>
      <c r="I263" s="26"/>
      <c r="L263" s="27"/>
    </row>
    <row r="264" spans="7:12" x14ac:dyDescent="0.3">
      <c r="G264" s="26"/>
      <c r="H264" s="26"/>
      <c r="I264" s="26"/>
      <c r="L264" s="27"/>
    </row>
    <row r="265" spans="7:12" x14ac:dyDescent="0.3">
      <c r="G265" s="26"/>
      <c r="H265" s="26"/>
      <c r="I265" s="26"/>
      <c r="L265" s="27"/>
    </row>
    <row r="266" spans="7:12" x14ac:dyDescent="0.3">
      <c r="G266" s="26"/>
      <c r="H266" s="26"/>
      <c r="I266" s="26"/>
      <c r="L266" s="27"/>
    </row>
    <row r="267" spans="7:12" x14ac:dyDescent="0.3">
      <c r="G267" s="26"/>
      <c r="H267" s="26"/>
      <c r="I267" s="26"/>
      <c r="L267" s="27"/>
    </row>
    <row r="268" spans="7:12" x14ac:dyDescent="0.3">
      <c r="G268" s="26"/>
      <c r="H268" s="26"/>
      <c r="I268" s="26"/>
      <c r="L268" s="27"/>
    </row>
    <row r="269" spans="7:12" x14ac:dyDescent="0.3">
      <c r="G269" s="26"/>
      <c r="H269" s="26"/>
      <c r="I269" s="26"/>
      <c r="L269" s="27"/>
    </row>
    <row r="270" spans="7:12" x14ac:dyDescent="0.3">
      <c r="G270" s="26"/>
      <c r="H270" s="26"/>
      <c r="I270" s="26"/>
      <c r="L270" s="27"/>
    </row>
    <row r="271" spans="7:12" x14ac:dyDescent="0.3">
      <c r="G271" s="26"/>
      <c r="H271" s="26"/>
      <c r="I271" s="26"/>
      <c r="L271" s="27"/>
    </row>
    <row r="272" spans="7:12" x14ac:dyDescent="0.3">
      <c r="G272" s="26"/>
      <c r="H272" s="26"/>
      <c r="I272" s="26"/>
      <c r="L272" s="27"/>
    </row>
    <row r="273" spans="7:12" x14ac:dyDescent="0.3">
      <c r="G273" s="26"/>
      <c r="H273" s="26"/>
      <c r="I273" s="26"/>
      <c r="L273" s="27"/>
    </row>
    <row r="274" spans="7:12" x14ac:dyDescent="0.3">
      <c r="G274" s="26"/>
      <c r="H274" s="26"/>
      <c r="I274" s="26"/>
      <c r="L274" s="27"/>
    </row>
    <row r="275" spans="7:12" x14ac:dyDescent="0.3">
      <c r="G275" s="26"/>
      <c r="H275" s="26"/>
      <c r="I275" s="26"/>
      <c r="L275" s="27"/>
    </row>
    <row r="276" spans="7:12" x14ac:dyDescent="0.3">
      <c r="G276" s="26"/>
      <c r="H276" s="26"/>
      <c r="I276" s="26"/>
      <c r="L276" s="27"/>
    </row>
    <row r="277" spans="7:12" x14ac:dyDescent="0.3">
      <c r="G277" s="26"/>
      <c r="H277" s="26"/>
      <c r="I277" s="26"/>
      <c r="L277" s="27"/>
    </row>
    <row r="278" spans="7:12" x14ac:dyDescent="0.3">
      <c r="G278" s="26"/>
      <c r="H278" s="26"/>
      <c r="I278" s="26"/>
      <c r="L278" s="27"/>
    </row>
    <row r="279" spans="7:12" x14ac:dyDescent="0.3">
      <c r="G279" s="26"/>
      <c r="H279" s="26"/>
      <c r="I279" s="26"/>
      <c r="L279" s="27"/>
    </row>
    <row r="280" spans="7:12" x14ac:dyDescent="0.3">
      <c r="G280" s="26"/>
      <c r="H280" s="26"/>
      <c r="I280" s="26"/>
      <c r="L280" s="27"/>
    </row>
    <row r="281" spans="7:12" x14ac:dyDescent="0.3">
      <c r="G281" s="26"/>
      <c r="H281" s="26"/>
      <c r="I281" s="26"/>
      <c r="L281" s="27"/>
    </row>
    <row r="282" spans="7:12" x14ac:dyDescent="0.3">
      <c r="G282" s="26"/>
      <c r="H282" s="26"/>
      <c r="I282" s="26"/>
      <c r="L282" s="27"/>
    </row>
    <row r="283" spans="7:12" x14ac:dyDescent="0.3">
      <c r="G283" s="26"/>
      <c r="H283" s="26"/>
      <c r="I283" s="26"/>
      <c r="L283" s="27"/>
    </row>
    <row r="284" spans="7:12" x14ac:dyDescent="0.3">
      <c r="G284" s="26"/>
      <c r="H284" s="26"/>
      <c r="I284" s="26"/>
      <c r="L284" s="27"/>
    </row>
    <row r="285" spans="7:12" x14ac:dyDescent="0.3">
      <c r="G285" s="26"/>
      <c r="H285" s="26"/>
      <c r="I285" s="26"/>
      <c r="L285" s="27"/>
    </row>
    <row r="286" spans="7:12" x14ac:dyDescent="0.3">
      <c r="G286" s="26"/>
      <c r="H286" s="26"/>
      <c r="I286" s="26"/>
      <c r="L286" s="27"/>
    </row>
    <row r="287" spans="7:12" x14ac:dyDescent="0.3">
      <c r="G287" s="26"/>
      <c r="H287" s="26"/>
      <c r="I287" s="26"/>
      <c r="L287" s="27"/>
    </row>
    <row r="288" spans="7:12" x14ac:dyDescent="0.3">
      <c r="G288" s="26"/>
      <c r="H288" s="26"/>
      <c r="I288" s="26"/>
      <c r="L288" s="27"/>
    </row>
    <row r="289" spans="7:12" x14ac:dyDescent="0.3">
      <c r="G289" s="26"/>
      <c r="H289" s="26"/>
      <c r="I289" s="26"/>
      <c r="L289" s="27"/>
    </row>
    <row r="290" spans="7:12" x14ac:dyDescent="0.3">
      <c r="G290" s="26"/>
      <c r="H290" s="26"/>
      <c r="I290" s="26"/>
      <c r="L290" s="27"/>
    </row>
    <row r="291" spans="7:12" x14ac:dyDescent="0.3">
      <c r="G291" s="26"/>
      <c r="H291" s="26"/>
      <c r="I291" s="26"/>
      <c r="L291" s="27"/>
    </row>
    <row r="292" spans="7:12" x14ac:dyDescent="0.3">
      <c r="G292" s="26"/>
      <c r="H292" s="26"/>
      <c r="I292" s="26"/>
      <c r="L292" s="27"/>
    </row>
    <row r="293" spans="7:12" x14ac:dyDescent="0.3">
      <c r="G293" s="26"/>
      <c r="H293" s="26"/>
      <c r="I293" s="26"/>
      <c r="L293" s="27"/>
    </row>
    <row r="294" spans="7:12" x14ac:dyDescent="0.3">
      <c r="G294" s="26"/>
      <c r="H294" s="26"/>
      <c r="I294" s="26"/>
      <c r="L294" s="27"/>
    </row>
    <row r="295" spans="7:12" x14ac:dyDescent="0.3">
      <c r="G295" s="26"/>
      <c r="H295" s="26"/>
      <c r="I295" s="26"/>
      <c r="L295" s="27"/>
    </row>
    <row r="296" spans="7:12" x14ac:dyDescent="0.3">
      <c r="G296" s="26"/>
      <c r="H296" s="26"/>
      <c r="I296" s="26"/>
      <c r="L296" s="27"/>
    </row>
    <row r="297" spans="7:12" x14ac:dyDescent="0.3">
      <c r="G297" s="26"/>
      <c r="H297" s="26"/>
      <c r="I297" s="26"/>
      <c r="L297" s="27"/>
    </row>
    <row r="298" spans="7:12" x14ac:dyDescent="0.3">
      <c r="G298" s="26"/>
      <c r="H298" s="26"/>
      <c r="I298" s="26"/>
      <c r="L298" s="27"/>
    </row>
    <row r="299" spans="7:12" x14ac:dyDescent="0.3">
      <c r="G299" s="26"/>
      <c r="H299" s="26"/>
      <c r="I299" s="26"/>
      <c r="L299" s="27"/>
    </row>
    <row r="300" spans="7:12" x14ac:dyDescent="0.3">
      <c r="G300" s="26"/>
      <c r="H300" s="26"/>
      <c r="I300" s="26"/>
      <c r="L300" s="27"/>
    </row>
    <row r="301" spans="7:12" x14ac:dyDescent="0.3">
      <c r="G301" s="26"/>
      <c r="H301" s="26"/>
      <c r="I301" s="26"/>
      <c r="L301" s="27"/>
    </row>
    <row r="302" spans="7:12" x14ac:dyDescent="0.3">
      <c r="G302" s="26"/>
      <c r="H302" s="26"/>
      <c r="I302" s="26"/>
      <c r="L302" s="27"/>
    </row>
    <row r="303" spans="7:12" x14ac:dyDescent="0.3">
      <c r="G303" s="26"/>
      <c r="H303" s="26"/>
      <c r="I303" s="26"/>
      <c r="L303" s="27"/>
    </row>
    <row r="304" spans="7:12" x14ac:dyDescent="0.3">
      <c r="G304" s="26"/>
      <c r="H304" s="26"/>
      <c r="I304" s="26"/>
      <c r="L304" s="27"/>
    </row>
    <row r="305" spans="7:12" x14ac:dyDescent="0.3">
      <c r="G305" s="26"/>
      <c r="H305" s="26"/>
      <c r="I305" s="26"/>
      <c r="L305" s="27"/>
    </row>
    <row r="306" spans="7:12" x14ac:dyDescent="0.3">
      <c r="G306" s="26"/>
      <c r="H306" s="26"/>
      <c r="I306" s="26"/>
      <c r="L306" s="27"/>
    </row>
    <row r="307" spans="7:12" x14ac:dyDescent="0.3">
      <c r="G307" s="26"/>
      <c r="H307" s="26"/>
      <c r="I307" s="26"/>
      <c r="L307" s="27"/>
    </row>
    <row r="308" spans="7:12" x14ac:dyDescent="0.3">
      <c r="G308" s="26"/>
      <c r="H308" s="26"/>
      <c r="I308" s="26"/>
      <c r="L308" s="27"/>
    </row>
    <row r="309" spans="7:12" x14ac:dyDescent="0.3">
      <c r="G309" s="26"/>
      <c r="H309" s="26"/>
      <c r="I309" s="26"/>
      <c r="L309" s="27"/>
    </row>
    <row r="310" spans="7:12" x14ac:dyDescent="0.3">
      <c r="G310" s="26"/>
      <c r="H310" s="26"/>
      <c r="I310" s="26"/>
      <c r="L310" s="27"/>
    </row>
    <row r="311" spans="7:12" x14ac:dyDescent="0.3">
      <c r="G311" s="26"/>
      <c r="H311" s="26"/>
      <c r="I311" s="26"/>
      <c r="L311" s="27"/>
    </row>
    <row r="312" spans="7:12" x14ac:dyDescent="0.3">
      <c r="G312" s="26"/>
      <c r="H312" s="26"/>
      <c r="I312" s="26"/>
      <c r="L312" s="27"/>
    </row>
    <row r="313" spans="7:12" x14ac:dyDescent="0.3">
      <c r="G313" s="26"/>
      <c r="H313" s="26"/>
      <c r="I313" s="26"/>
      <c r="L313" s="27"/>
    </row>
    <row r="314" spans="7:12" x14ac:dyDescent="0.3">
      <c r="G314" s="26"/>
      <c r="H314" s="26"/>
      <c r="I314" s="26"/>
      <c r="L314" s="27"/>
    </row>
    <row r="315" spans="7:12" x14ac:dyDescent="0.3">
      <c r="G315" s="26"/>
      <c r="H315" s="26"/>
      <c r="I315" s="26"/>
      <c r="L315" s="27"/>
    </row>
    <row r="316" spans="7:12" x14ac:dyDescent="0.3">
      <c r="G316" s="26"/>
      <c r="H316" s="26"/>
      <c r="I316" s="26"/>
      <c r="L316" s="27"/>
    </row>
    <row r="317" spans="7:12" x14ac:dyDescent="0.3">
      <c r="G317" s="26"/>
      <c r="H317" s="26"/>
      <c r="I317" s="26"/>
      <c r="L317" s="27"/>
    </row>
    <row r="318" spans="7:12" x14ac:dyDescent="0.3">
      <c r="G318" s="26"/>
      <c r="H318" s="26"/>
      <c r="I318" s="26"/>
      <c r="L318" s="27"/>
    </row>
    <row r="319" spans="7:12" x14ac:dyDescent="0.3">
      <c r="G319" s="26"/>
      <c r="H319" s="26"/>
      <c r="I319" s="26"/>
      <c r="L319" s="27"/>
    </row>
    <row r="320" spans="7:12" x14ac:dyDescent="0.3">
      <c r="G320" s="26"/>
      <c r="H320" s="26"/>
      <c r="I320" s="26"/>
      <c r="L320" s="27"/>
    </row>
    <row r="321" spans="7:12" x14ac:dyDescent="0.3">
      <c r="G321" s="26"/>
      <c r="H321" s="26"/>
      <c r="I321" s="26"/>
      <c r="L321" s="27"/>
    </row>
    <row r="322" spans="7:12" x14ac:dyDescent="0.3">
      <c r="G322" s="26"/>
      <c r="H322" s="26"/>
      <c r="I322" s="26"/>
      <c r="L322" s="27"/>
    </row>
    <row r="323" spans="7:12" x14ac:dyDescent="0.3">
      <c r="G323" s="26"/>
      <c r="H323" s="26"/>
      <c r="I323" s="26"/>
      <c r="L323" s="27"/>
    </row>
    <row r="324" spans="7:12" x14ac:dyDescent="0.3">
      <c r="G324" s="26"/>
      <c r="H324" s="26"/>
      <c r="I324" s="26"/>
      <c r="L324" s="27"/>
    </row>
    <row r="325" spans="7:12" x14ac:dyDescent="0.3">
      <c r="G325" s="26"/>
      <c r="H325" s="26"/>
      <c r="I325" s="26"/>
      <c r="L325" s="27"/>
    </row>
    <row r="326" spans="7:12" x14ac:dyDescent="0.3">
      <c r="G326" s="26"/>
      <c r="H326" s="26"/>
      <c r="I326" s="26"/>
      <c r="L326" s="27"/>
    </row>
    <row r="327" spans="7:12" x14ac:dyDescent="0.3">
      <c r="G327" s="26"/>
      <c r="H327" s="26"/>
      <c r="I327" s="26"/>
      <c r="L327" s="27"/>
    </row>
    <row r="328" spans="7:12" x14ac:dyDescent="0.3">
      <c r="G328" s="26"/>
      <c r="H328" s="26"/>
      <c r="I328" s="26"/>
      <c r="L328" s="27"/>
    </row>
    <row r="329" spans="7:12" x14ac:dyDescent="0.3">
      <c r="G329" s="26"/>
      <c r="H329" s="26"/>
      <c r="I329" s="26"/>
      <c r="L329" s="27"/>
    </row>
    <row r="330" spans="7:12" x14ac:dyDescent="0.3">
      <c r="G330" s="26"/>
      <c r="H330" s="26"/>
      <c r="I330" s="26"/>
      <c r="L330" s="27"/>
    </row>
    <row r="331" spans="7:12" x14ac:dyDescent="0.3">
      <c r="G331" s="26"/>
      <c r="H331" s="26"/>
      <c r="I331" s="26"/>
      <c r="L331" s="27"/>
    </row>
    <row r="332" spans="7:12" x14ac:dyDescent="0.3">
      <c r="G332" s="26"/>
      <c r="H332" s="26"/>
      <c r="I332" s="26"/>
      <c r="L332" s="27"/>
    </row>
    <row r="333" spans="7:12" x14ac:dyDescent="0.3">
      <c r="G333" s="26"/>
      <c r="H333" s="26"/>
      <c r="I333" s="26"/>
      <c r="L333" s="27"/>
    </row>
    <row r="334" spans="7:12" x14ac:dyDescent="0.3">
      <c r="G334" s="26"/>
      <c r="H334" s="26"/>
      <c r="I334" s="26"/>
      <c r="L334" s="27"/>
    </row>
    <row r="335" spans="7:12" x14ac:dyDescent="0.3">
      <c r="G335" s="26"/>
      <c r="H335" s="26"/>
      <c r="I335" s="26"/>
      <c r="L335" s="27"/>
    </row>
    <row r="336" spans="7:12" x14ac:dyDescent="0.3">
      <c r="G336" s="26"/>
      <c r="H336" s="26"/>
      <c r="I336" s="26"/>
      <c r="L336" s="27"/>
    </row>
    <row r="337" spans="7:12" x14ac:dyDescent="0.3">
      <c r="G337" s="26"/>
      <c r="H337" s="26"/>
      <c r="I337" s="26"/>
      <c r="L337" s="27"/>
    </row>
    <row r="338" spans="7:12" x14ac:dyDescent="0.3">
      <c r="G338" s="26"/>
      <c r="H338" s="26"/>
      <c r="I338" s="26"/>
      <c r="L338" s="27"/>
    </row>
    <row r="339" spans="7:12" x14ac:dyDescent="0.3">
      <c r="G339" s="26"/>
      <c r="H339" s="26"/>
      <c r="I339" s="26"/>
      <c r="L339" s="27"/>
    </row>
    <row r="340" spans="7:12" x14ac:dyDescent="0.3">
      <c r="G340" s="26"/>
      <c r="H340" s="26"/>
      <c r="I340" s="26"/>
      <c r="L340" s="27"/>
    </row>
    <row r="341" spans="7:12" x14ac:dyDescent="0.3">
      <c r="G341" s="26"/>
      <c r="H341" s="26"/>
      <c r="I341" s="26"/>
      <c r="L341" s="27"/>
    </row>
    <row r="342" spans="7:12" x14ac:dyDescent="0.3">
      <c r="G342" s="26"/>
      <c r="H342" s="26"/>
      <c r="I342" s="26"/>
      <c r="L342" s="27"/>
    </row>
    <row r="343" spans="7:12" x14ac:dyDescent="0.3">
      <c r="G343" s="26"/>
      <c r="H343" s="26"/>
      <c r="I343" s="26"/>
      <c r="L343" s="27"/>
    </row>
    <row r="344" spans="7:12" x14ac:dyDescent="0.3">
      <c r="G344" s="26"/>
      <c r="H344" s="26"/>
      <c r="I344" s="26"/>
      <c r="L344" s="27"/>
    </row>
    <row r="345" spans="7:12" x14ac:dyDescent="0.3">
      <c r="G345" s="26"/>
      <c r="H345" s="26"/>
      <c r="I345" s="26"/>
      <c r="L345" s="27"/>
    </row>
    <row r="346" spans="7:12" x14ac:dyDescent="0.3">
      <c r="G346" s="26"/>
      <c r="H346" s="26"/>
      <c r="I346" s="26"/>
      <c r="L346" s="27"/>
    </row>
    <row r="347" spans="7:12" x14ac:dyDescent="0.3">
      <c r="G347" s="26"/>
      <c r="H347" s="26"/>
      <c r="I347" s="26"/>
      <c r="L347" s="27"/>
    </row>
    <row r="348" spans="7:12" x14ac:dyDescent="0.3">
      <c r="G348" s="26"/>
      <c r="H348" s="26"/>
      <c r="I348" s="26"/>
      <c r="L348" s="27"/>
    </row>
    <row r="349" spans="7:12" x14ac:dyDescent="0.3">
      <c r="G349" s="26"/>
      <c r="H349" s="26"/>
      <c r="I349" s="26"/>
      <c r="L349" s="27"/>
    </row>
    <row r="350" spans="7:12" x14ac:dyDescent="0.3">
      <c r="G350" s="26"/>
      <c r="H350" s="26"/>
      <c r="I350" s="26"/>
      <c r="L350" s="27"/>
    </row>
    <row r="351" spans="7:12" x14ac:dyDescent="0.3">
      <c r="G351" s="26"/>
      <c r="H351" s="26"/>
      <c r="I351" s="26"/>
      <c r="L351" s="27"/>
    </row>
    <row r="352" spans="7:12" x14ac:dyDescent="0.3">
      <c r="G352" s="26"/>
      <c r="H352" s="26"/>
      <c r="I352" s="26"/>
      <c r="L352" s="27"/>
    </row>
    <row r="353" spans="7:12" x14ac:dyDescent="0.3">
      <c r="G353" s="26"/>
      <c r="H353" s="26"/>
      <c r="I353" s="26"/>
      <c r="L353" s="27"/>
    </row>
    <row r="354" spans="7:12" x14ac:dyDescent="0.3">
      <c r="G354" s="26"/>
      <c r="H354" s="26"/>
      <c r="I354" s="26"/>
      <c r="L354" s="27"/>
    </row>
    <row r="355" spans="7:12" x14ac:dyDescent="0.3">
      <c r="G355" s="26"/>
      <c r="H355" s="26"/>
      <c r="I355" s="26"/>
      <c r="L355" s="27"/>
    </row>
    <row r="356" spans="7:12" x14ac:dyDescent="0.3">
      <c r="G356" s="26"/>
      <c r="H356" s="26"/>
      <c r="I356" s="26"/>
      <c r="L356" s="27"/>
    </row>
    <row r="357" spans="7:12" x14ac:dyDescent="0.3">
      <c r="G357" s="26"/>
      <c r="H357" s="26"/>
      <c r="I357" s="26"/>
      <c r="L357" s="27"/>
    </row>
    <row r="358" spans="7:12" x14ac:dyDescent="0.3">
      <c r="G358" s="26"/>
      <c r="H358" s="26"/>
      <c r="I358" s="26"/>
      <c r="L358" s="27"/>
    </row>
    <row r="359" spans="7:12" x14ac:dyDescent="0.3">
      <c r="G359" s="26"/>
      <c r="H359" s="26"/>
      <c r="I359" s="26"/>
      <c r="L359" s="27"/>
    </row>
    <row r="360" spans="7:12" x14ac:dyDescent="0.3">
      <c r="G360" s="26"/>
      <c r="H360" s="26"/>
      <c r="I360" s="26"/>
      <c r="L360" s="27"/>
    </row>
    <row r="361" spans="7:12" x14ac:dyDescent="0.3">
      <c r="G361" s="26"/>
      <c r="H361" s="26"/>
      <c r="I361" s="26"/>
      <c r="L361" s="27"/>
    </row>
    <row r="362" spans="7:12" x14ac:dyDescent="0.3">
      <c r="G362" s="26"/>
      <c r="H362" s="26"/>
      <c r="I362" s="26"/>
      <c r="L362" s="27"/>
    </row>
    <row r="363" spans="7:12" x14ac:dyDescent="0.3">
      <c r="G363" s="26"/>
      <c r="H363" s="26"/>
      <c r="I363" s="26"/>
      <c r="L363" s="27"/>
    </row>
    <row r="364" spans="7:12" x14ac:dyDescent="0.3">
      <c r="G364" s="26"/>
      <c r="H364" s="26"/>
      <c r="I364" s="26"/>
      <c r="L364" s="27"/>
    </row>
    <row r="365" spans="7:12" x14ac:dyDescent="0.3">
      <c r="G365" s="26"/>
      <c r="H365" s="26"/>
      <c r="I365" s="26"/>
      <c r="L365" s="27"/>
    </row>
    <row r="366" spans="7:12" x14ac:dyDescent="0.3">
      <c r="G366" s="26"/>
      <c r="H366" s="26"/>
      <c r="I366" s="26"/>
      <c r="L366" s="27"/>
    </row>
    <row r="367" spans="7:12" x14ac:dyDescent="0.3">
      <c r="G367" s="26"/>
      <c r="H367" s="26"/>
      <c r="I367" s="26"/>
      <c r="L367" s="27"/>
    </row>
    <row r="368" spans="7:12" x14ac:dyDescent="0.3">
      <c r="G368" s="26"/>
      <c r="H368" s="26"/>
      <c r="I368" s="26"/>
      <c r="L368" s="27"/>
    </row>
    <row r="369" spans="7:12" x14ac:dyDescent="0.3">
      <c r="G369" s="26"/>
      <c r="H369" s="26"/>
      <c r="I369" s="26"/>
      <c r="L369" s="27"/>
    </row>
    <row r="370" spans="7:12" x14ac:dyDescent="0.3">
      <c r="G370" s="26"/>
      <c r="H370" s="26"/>
      <c r="I370" s="26"/>
      <c r="L370" s="27"/>
    </row>
    <row r="371" spans="7:12" x14ac:dyDescent="0.3">
      <c r="G371" s="26"/>
      <c r="H371" s="26"/>
      <c r="I371" s="26"/>
      <c r="L371" s="27"/>
    </row>
    <row r="372" spans="7:12" x14ac:dyDescent="0.3">
      <c r="G372" s="26"/>
      <c r="H372" s="26"/>
      <c r="I372" s="26"/>
      <c r="L372" s="27"/>
    </row>
    <row r="373" spans="7:12" x14ac:dyDescent="0.3">
      <c r="G373" s="26"/>
      <c r="H373" s="26"/>
      <c r="I373" s="26"/>
      <c r="L373" s="27"/>
    </row>
    <row r="374" spans="7:12" x14ac:dyDescent="0.3">
      <c r="G374" s="26"/>
      <c r="H374" s="26"/>
      <c r="I374" s="26"/>
      <c r="L374" s="27"/>
    </row>
    <row r="375" spans="7:12" x14ac:dyDescent="0.3">
      <c r="G375" s="26"/>
      <c r="H375" s="26"/>
      <c r="I375" s="26"/>
      <c r="L375" s="27"/>
    </row>
    <row r="376" spans="7:12" x14ac:dyDescent="0.3">
      <c r="G376" s="26"/>
      <c r="H376" s="26"/>
      <c r="I376" s="26"/>
      <c r="L376" s="27"/>
    </row>
    <row r="377" spans="7:12" x14ac:dyDescent="0.3">
      <c r="G377" s="26"/>
      <c r="H377" s="26"/>
      <c r="I377" s="26"/>
      <c r="L377" s="27"/>
    </row>
    <row r="378" spans="7:12" x14ac:dyDescent="0.3">
      <c r="G378" s="26"/>
      <c r="H378" s="26"/>
      <c r="I378" s="26"/>
      <c r="L378" s="27"/>
    </row>
    <row r="379" spans="7:12" x14ac:dyDescent="0.3">
      <c r="G379" s="26"/>
      <c r="H379" s="26"/>
      <c r="I379" s="26"/>
      <c r="L379" s="27"/>
    </row>
    <row r="380" spans="7:12" x14ac:dyDescent="0.3">
      <c r="G380" s="26"/>
      <c r="H380" s="26"/>
      <c r="I380" s="26"/>
      <c r="L380" s="27"/>
    </row>
    <row r="381" spans="7:12" x14ac:dyDescent="0.3">
      <c r="G381" s="26"/>
      <c r="H381" s="26"/>
      <c r="I381" s="26"/>
      <c r="L381" s="27"/>
    </row>
    <row r="382" spans="7:12" x14ac:dyDescent="0.3">
      <c r="G382" s="26"/>
      <c r="H382" s="26"/>
      <c r="I382" s="26"/>
      <c r="L382" s="27"/>
    </row>
    <row r="383" spans="7:12" x14ac:dyDescent="0.3">
      <c r="G383" s="26"/>
      <c r="H383" s="26"/>
      <c r="I383" s="26"/>
      <c r="L383" s="27"/>
    </row>
    <row r="384" spans="7:12" x14ac:dyDescent="0.3">
      <c r="G384" s="26"/>
      <c r="H384" s="26"/>
      <c r="I384" s="26"/>
      <c r="L384" s="27"/>
    </row>
    <row r="385" spans="7:12" x14ac:dyDescent="0.3">
      <c r="G385" s="26"/>
      <c r="H385" s="26"/>
      <c r="I385" s="26"/>
      <c r="L385" s="27"/>
    </row>
    <row r="386" spans="7:12" x14ac:dyDescent="0.3">
      <c r="G386" s="26"/>
      <c r="H386" s="26"/>
      <c r="I386" s="26"/>
      <c r="L386" s="27"/>
    </row>
    <row r="387" spans="7:12" x14ac:dyDescent="0.3">
      <c r="G387" s="26"/>
      <c r="H387" s="26"/>
      <c r="I387" s="26"/>
      <c r="L387" s="27"/>
    </row>
    <row r="388" spans="7:12" x14ac:dyDescent="0.3">
      <c r="G388" s="26"/>
      <c r="H388" s="26"/>
      <c r="I388" s="26"/>
      <c r="L388" s="27"/>
    </row>
    <row r="389" spans="7:12" x14ac:dyDescent="0.3">
      <c r="G389" s="26"/>
      <c r="H389" s="26"/>
      <c r="I389" s="26"/>
      <c r="L389" s="27"/>
    </row>
    <row r="390" spans="7:12" x14ac:dyDescent="0.3">
      <c r="G390" s="26"/>
      <c r="H390" s="26"/>
      <c r="I390" s="26"/>
      <c r="L390" s="27"/>
    </row>
    <row r="391" spans="7:12" x14ac:dyDescent="0.3">
      <c r="G391" s="26"/>
      <c r="H391" s="26"/>
      <c r="I391" s="26"/>
      <c r="L391" s="27"/>
    </row>
    <row r="392" spans="7:12" x14ac:dyDescent="0.3">
      <c r="G392" s="26"/>
      <c r="H392" s="26"/>
      <c r="I392" s="26"/>
      <c r="L392" s="27"/>
    </row>
    <row r="393" spans="7:12" x14ac:dyDescent="0.3">
      <c r="G393" s="26"/>
      <c r="H393" s="26"/>
      <c r="I393" s="26"/>
      <c r="L393" s="27"/>
    </row>
    <row r="394" spans="7:12" x14ac:dyDescent="0.3">
      <c r="G394" s="26"/>
      <c r="H394" s="26"/>
      <c r="I394" s="26"/>
      <c r="L394" s="27"/>
    </row>
    <row r="395" spans="7:12" x14ac:dyDescent="0.3">
      <c r="G395" s="26"/>
      <c r="H395" s="26"/>
      <c r="I395" s="26"/>
      <c r="L395" s="27"/>
    </row>
    <row r="396" spans="7:12" x14ac:dyDescent="0.3">
      <c r="G396" s="26"/>
      <c r="H396" s="26"/>
      <c r="I396" s="26"/>
      <c r="L396" s="27"/>
    </row>
    <row r="397" spans="7:12" x14ac:dyDescent="0.3">
      <c r="G397" s="26"/>
      <c r="H397" s="26"/>
      <c r="I397" s="26"/>
      <c r="L397" s="27"/>
    </row>
    <row r="398" spans="7:12" x14ac:dyDescent="0.3">
      <c r="G398" s="26"/>
      <c r="H398" s="26"/>
      <c r="I398" s="26"/>
      <c r="L398" s="27"/>
    </row>
    <row r="399" spans="7:12" x14ac:dyDescent="0.3">
      <c r="G399" s="26"/>
      <c r="H399" s="26"/>
      <c r="I399" s="26"/>
      <c r="L399" s="27"/>
    </row>
    <row r="400" spans="7:12" x14ac:dyDescent="0.3">
      <c r="G400" s="26"/>
      <c r="H400" s="26"/>
      <c r="I400" s="26"/>
      <c r="L400" s="27"/>
    </row>
    <row r="401" spans="7:12" x14ac:dyDescent="0.3">
      <c r="G401" s="26"/>
      <c r="H401" s="26"/>
      <c r="I401" s="26"/>
      <c r="L401" s="27"/>
    </row>
    <row r="402" spans="7:12" x14ac:dyDescent="0.3">
      <c r="G402" s="26"/>
      <c r="H402" s="26"/>
      <c r="I402" s="26"/>
      <c r="L402" s="27"/>
    </row>
    <row r="403" spans="7:12" x14ac:dyDescent="0.3">
      <c r="G403" s="26"/>
      <c r="H403" s="26"/>
      <c r="I403" s="26"/>
      <c r="L403" s="27"/>
    </row>
    <row r="404" spans="7:12" x14ac:dyDescent="0.3">
      <c r="G404" s="26"/>
      <c r="H404" s="26"/>
      <c r="I404" s="26"/>
      <c r="L404" s="27"/>
    </row>
    <row r="405" spans="7:12" x14ac:dyDescent="0.3">
      <c r="G405" s="26"/>
      <c r="H405" s="26"/>
      <c r="I405" s="26"/>
      <c r="L405" s="27"/>
    </row>
    <row r="406" spans="7:12" x14ac:dyDescent="0.3">
      <c r="G406" s="26"/>
      <c r="H406" s="26"/>
      <c r="I406" s="26"/>
      <c r="L406" s="27"/>
    </row>
    <row r="407" spans="7:12" x14ac:dyDescent="0.3">
      <c r="G407" s="26"/>
      <c r="H407" s="26"/>
      <c r="I407" s="26"/>
      <c r="L407" s="27"/>
    </row>
    <row r="408" spans="7:12" x14ac:dyDescent="0.3">
      <c r="G408" s="26"/>
      <c r="H408" s="26"/>
      <c r="I408" s="26"/>
      <c r="L408" s="27"/>
    </row>
    <row r="409" spans="7:12" x14ac:dyDescent="0.3">
      <c r="G409" s="26"/>
      <c r="H409" s="26"/>
      <c r="I409" s="26"/>
      <c r="L409" s="27"/>
    </row>
    <row r="410" spans="7:12" x14ac:dyDescent="0.3">
      <c r="G410" s="26"/>
      <c r="H410" s="26"/>
      <c r="I410" s="26"/>
      <c r="L410" s="27"/>
    </row>
    <row r="411" spans="7:12" x14ac:dyDescent="0.3">
      <c r="G411" s="26"/>
      <c r="H411" s="26"/>
      <c r="I411" s="26"/>
      <c r="L411" s="27"/>
    </row>
    <row r="412" spans="7:12" x14ac:dyDescent="0.3">
      <c r="G412" s="26"/>
      <c r="H412" s="26"/>
      <c r="I412" s="26"/>
      <c r="L412" s="27"/>
    </row>
    <row r="413" spans="7:12" x14ac:dyDescent="0.3">
      <c r="G413" s="26"/>
      <c r="H413" s="26"/>
      <c r="I413" s="26"/>
      <c r="L413" s="27"/>
    </row>
    <row r="414" spans="7:12" x14ac:dyDescent="0.3">
      <c r="G414" s="26"/>
      <c r="H414" s="26"/>
      <c r="I414" s="26"/>
      <c r="L414" s="27"/>
    </row>
    <row r="415" spans="7:12" x14ac:dyDescent="0.3">
      <c r="G415" s="26"/>
      <c r="H415" s="26"/>
      <c r="I415" s="26"/>
      <c r="L415" s="27"/>
    </row>
    <row r="416" spans="7:12" x14ac:dyDescent="0.3">
      <c r="G416" s="26"/>
      <c r="H416" s="26"/>
      <c r="I416" s="26"/>
      <c r="L416" s="27"/>
    </row>
    <row r="417" spans="7:12" x14ac:dyDescent="0.3">
      <c r="G417" s="26"/>
      <c r="H417" s="26"/>
      <c r="I417" s="26"/>
      <c r="L417" s="27"/>
    </row>
    <row r="418" spans="7:12" x14ac:dyDescent="0.3">
      <c r="G418" s="26"/>
      <c r="H418" s="26"/>
      <c r="I418" s="26"/>
      <c r="L418" s="27"/>
    </row>
    <row r="419" spans="7:12" x14ac:dyDescent="0.3">
      <c r="G419" s="26"/>
      <c r="H419" s="26"/>
      <c r="I419" s="26"/>
      <c r="L419" s="27"/>
    </row>
    <row r="420" spans="7:12" x14ac:dyDescent="0.3">
      <c r="G420" s="26"/>
      <c r="H420" s="26"/>
      <c r="I420" s="26"/>
      <c r="L420" s="27"/>
    </row>
    <row r="421" spans="7:12" x14ac:dyDescent="0.3">
      <c r="G421" s="26"/>
      <c r="H421" s="26"/>
      <c r="I421" s="26"/>
      <c r="L421" s="27"/>
    </row>
    <row r="422" spans="7:12" x14ac:dyDescent="0.3">
      <c r="G422" s="26"/>
      <c r="H422" s="26"/>
      <c r="I422" s="26"/>
      <c r="L422" s="27"/>
    </row>
    <row r="423" spans="7:12" x14ac:dyDescent="0.3">
      <c r="G423" s="26"/>
      <c r="H423" s="26"/>
      <c r="I423" s="26"/>
      <c r="L423" s="27"/>
    </row>
    <row r="424" spans="7:12" x14ac:dyDescent="0.3">
      <c r="G424" s="26"/>
      <c r="H424" s="26"/>
      <c r="I424" s="26"/>
      <c r="L424" s="27"/>
    </row>
    <row r="425" spans="7:12" x14ac:dyDescent="0.3">
      <c r="G425" s="26"/>
      <c r="H425" s="26"/>
      <c r="I425" s="26"/>
      <c r="L425" s="27"/>
    </row>
    <row r="426" spans="7:12" x14ac:dyDescent="0.3">
      <c r="G426" s="26"/>
      <c r="H426" s="26"/>
      <c r="I426" s="26"/>
      <c r="L426" s="27"/>
    </row>
    <row r="427" spans="7:12" x14ac:dyDescent="0.3">
      <c r="G427" s="26"/>
      <c r="H427" s="26"/>
      <c r="I427" s="26"/>
      <c r="L427" s="27"/>
    </row>
    <row r="428" spans="7:12" x14ac:dyDescent="0.3">
      <c r="G428" s="26"/>
      <c r="H428" s="26"/>
      <c r="I428" s="26"/>
      <c r="L428" s="27"/>
    </row>
    <row r="429" spans="7:12" x14ac:dyDescent="0.3">
      <c r="G429" s="26"/>
      <c r="H429" s="26"/>
      <c r="I429" s="26"/>
      <c r="L429" s="27"/>
    </row>
    <row r="430" spans="7:12" x14ac:dyDescent="0.3">
      <c r="G430" s="26"/>
      <c r="H430" s="26"/>
      <c r="I430" s="26"/>
      <c r="L430" s="27"/>
    </row>
    <row r="431" spans="7:12" x14ac:dyDescent="0.3">
      <c r="G431" s="26"/>
      <c r="H431" s="26"/>
      <c r="I431" s="26"/>
      <c r="L431" s="27"/>
    </row>
    <row r="432" spans="7:12" x14ac:dyDescent="0.3">
      <c r="G432" s="26"/>
      <c r="H432" s="26"/>
      <c r="I432" s="26"/>
      <c r="L432" s="27"/>
    </row>
    <row r="433" spans="7:12" x14ac:dyDescent="0.3">
      <c r="G433" s="26"/>
      <c r="H433" s="26"/>
      <c r="I433" s="26"/>
      <c r="L433" s="27"/>
    </row>
    <row r="434" spans="7:12" x14ac:dyDescent="0.3">
      <c r="G434" s="26"/>
      <c r="H434" s="26"/>
      <c r="I434" s="26"/>
      <c r="L434" s="27"/>
    </row>
    <row r="435" spans="7:12" x14ac:dyDescent="0.3">
      <c r="G435" s="26"/>
      <c r="H435" s="26"/>
      <c r="I435" s="26"/>
      <c r="L435" s="27"/>
    </row>
    <row r="436" spans="7:12" x14ac:dyDescent="0.3">
      <c r="G436" s="26"/>
      <c r="H436" s="26"/>
      <c r="I436" s="26"/>
      <c r="L436" s="27"/>
    </row>
    <row r="437" spans="7:12" x14ac:dyDescent="0.3">
      <c r="G437" s="26"/>
      <c r="H437" s="26"/>
      <c r="I437" s="26"/>
      <c r="L437" s="27"/>
    </row>
    <row r="438" spans="7:12" x14ac:dyDescent="0.3">
      <c r="G438" s="26"/>
      <c r="H438" s="26"/>
      <c r="I438" s="26"/>
      <c r="L438" s="27"/>
    </row>
    <row r="439" spans="7:12" x14ac:dyDescent="0.3">
      <c r="G439" s="26"/>
      <c r="H439" s="26"/>
      <c r="I439" s="26"/>
      <c r="L439" s="27"/>
    </row>
    <row r="440" spans="7:12" x14ac:dyDescent="0.3">
      <c r="G440" s="26"/>
      <c r="H440" s="26"/>
      <c r="I440" s="26"/>
      <c r="L440" s="27"/>
    </row>
    <row r="441" spans="7:12" x14ac:dyDescent="0.3">
      <c r="G441" s="26"/>
      <c r="H441" s="26"/>
      <c r="I441" s="26"/>
      <c r="L441" s="27"/>
    </row>
    <row r="442" spans="7:12" x14ac:dyDescent="0.3">
      <c r="G442" s="26"/>
      <c r="H442" s="26"/>
      <c r="I442" s="26"/>
      <c r="L442" s="27"/>
    </row>
    <row r="443" spans="7:12" x14ac:dyDescent="0.3">
      <c r="G443" s="26"/>
      <c r="H443" s="26"/>
      <c r="I443" s="26"/>
      <c r="L443" s="27"/>
    </row>
    <row r="444" spans="7:12" x14ac:dyDescent="0.3">
      <c r="G444" s="26"/>
      <c r="H444" s="26"/>
      <c r="I444" s="26"/>
      <c r="L444" s="27"/>
    </row>
    <row r="445" spans="7:12" x14ac:dyDescent="0.3">
      <c r="G445" s="26"/>
      <c r="H445" s="26"/>
      <c r="I445" s="26"/>
      <c r="L445" s="27"/>
    </row>
    <row r="446" spans="7:12" x14ac:dyDescent="0.3">
      <c r="G446" s="26"/>
      <c r="H446" s="26"/>
      <c r="I446" s="26"/>
      <c r="L446" s="27"/>
    </row>
    <row r="447" spans="7:12" x14ac:dyDescent="0.3">
      <c r="G447" s="26"/>
      <c r="H447" s="26"/>
      <c r="I447" s="26"/>
      <c r="L447" s="27"/>
    </row>
    <row r="448" spans="7:12" x14ac:dyDescent="0.3">
      <c r="G448" s="26"/>
      <c r="H448" s="26"/>
      <c r="I448" s="26"/>
      <c r="L448" s="27"/>
    </row>
    <row r="449" spans="7:12" x14ac:dyDescent="0.3">
      <c r="G449" s="26"/>
      <c r="H449" s="26"/>
      <c r="I449" s="26"/>
      <c r="L449" s="27"/>
    </row>
    <row r="450" spans="7:12" x14ac:dyDescent="0.3">
      <c r="G450" s="26"/>
      <c r="H450" s="26"/>
      <c r="I450" s="26"/>
      <c r="L450" s="27"/>
    </row>
    <row r="451" spans="7:12" x14ac:dyDescent="0.3">
      <c r="G451" s="26"/>
      <c r="H451" s="26"/>
      <c r="I451" s="26"/>
      <c r="L451" s="27"/>
    </row>
    <row r="452" spans="7:12" x14ac:dyDescent="0.3">
      <c r="G452" s="26"/>
      <c r="H452" s="26"/>
      <c r="I452" s="26"/>
      <c r="L452" s="27"/>
    </row>
    <row r="453" spans="7:12" x14ac:dyDescent="0.3">
      <c r="G453" s="26"/>
      <c r="H453" s="26"/>
      <c r="I453" s="26"/>
      <c r="L453" s="27"/>
    </row>
    <row r="454" spans="7:12" x14ac:dyDescent="0.3">
      <c r="G454" s="26"/>
      <c r="H454" s="26"/>
      <c r="I454" s="26"/>
      <c r="L454" s="27"/>
    </row>
    <row r="455" spans="7:12" x14ac:dyDescent="0.3">
      <c r="G455" s="26"/>
      <c r="H455" s="26"/>
      <c r="I455" s="26"/>
      <c r="L455" s="27"/>
    </row>
    <row r="456" spans="7:12" x14ac:dyDescent="0.3">
      <c r="G456" s="26"/>
      <c r="H456" s="26"/>
      <c r="I456" s="26"/>
      <c r="L456" s="27"/>
    </row>
    <row r="457" spans="7:12" x14ac:dyDescent="0.3">
      <c r="G457" s="26"/>
      <c r="H457" s="26"/>
      <c r="I457" s="26"/>
      <c r="L457" s="27"/>
    </row>
    <row r="458" spans="7:12" x14ac:dyDescent="0.3">
      <c r="G458" s="26"/>
      <c r="H458" s="26"/>
      <c r="I458" s="26"/>
      <c r="L458" s="27"/>
    </row>
    <row r="459" spans="7:12" x14ac:dyDescent="0.3">
      <c r="G459" s="26"/>
      <c r="H459" s="26"/>
      <c r="I459" s="26"/>
      <c r="L459" s="27"/>
    </row>
    <row r="460" spans="7:12" x14ac:dyDescent="0.3">
      <c r="G460" s="26"/>
      <c r="H460" s="26"/>
      <c r="I460" s="26"/>
      <c r="L460" s="27"/>
    </row>
    <row r="461" spans="7:12" x14ac:dyDescent="0.3">
      <c r="G461" s="26"/>
      <c r="H461" s="26"/>
      <c r="I461" s="26"/>
      <c r="L461" s="27"/>
    </row>
    <row r="462" spans="7:12" x14ac:dyDescent="0.3">
      <c r="G462" s="26"/>
      <c r="H462" s="26"/>
      <c r="I462" s="26"/>
      <c r="L462" s="27"/>
    </row>
    <row r="463" spans="7:12" x14ac:dyDescent="0.3">
      <c r="G463" s="26"/>
      <c r="H463" s="26"/>
      <c r="I463" s="26"/>
      <c r="L463" s="27"/>
    </row>
    <row r="464" spans="7:12" x14ac:dyDescent="0.3">
      <c r="G464" s="26"/>
      <c r="H464" s="26"/>
      <c r="I464" s="26"/>
      <c r="L464" s="27"/>
    </row>
    <row r="465" spans="7:12" x14ac:dyDescent="0.3">
      <c r="G465" s="26"/>
      <c r="H465" s="26"/>
      <c r="I465" s="26"/>
      <c r="L465" s="27"/>
    </row>
    <row r="466" spans="7:12" x14ac:dyDescent="0.3">
      <c r="G466" s="26"/>
      <c r="H466" s="26"/>
      <c r="I466" s="26"/>
      <c r="L466" s="27"/>
    </row>
    <row r="467" spans="7:12" x14ac:dyDescent="0.3">
      <c r="G467" s="26"/>
      <c r="H467" s="26"/>
      <c r="I467" s="26"/>
      <c r="L467" s="27"/>
    </row>
    <row r="468" spans="7:12" x14ac:dyDescent="0.3">
      <c r="G468" s="26"/>
      <c r="H468" s="26"/>
      <c r="I468" s="26"/>
      <c r="L468" s="27"/>
    </row>
    <row r="469" spans="7:12" x14ac:dyDescent="0.3">
      <c r="G469" s="26"/>
      <c r="H469" s="26"/>
      <c r="I469" s="26"/>
      <c r="L469" s="27"/>
    </row>
    <row r="470" spans="7:12" x14ac:dyDescent="0.3">
      <c r="G470" s="26"/>
      <c r="H470" s="26"/>
      <c r="I470" s="26"/>
      <c r="L470" s="27"/>
    </row>
    <row r="471" spans="7:12" x14ac:dyDescent="0.3">
      <c r="G471" s="26"/>
      <c r="H471" s="26"/>
      <c r="I471" s="26"/>
      <c r="L471" s="27"/>
    </row>
    <row r="472" spans="7:12" x14ac:dyDescent="0.3">
      <c r="G472" s="26"/>
      <c r="H472" s="26"/>
      <c r="I472" s="26"/>
      <c r="L472" s="27"/>
    </row>
    <row r="473" spans="7:12" x14ac:dyDescent="0.3">
      <c r="G473" s="26"/>
      <c r="H473" s="26"/>
      <c r="I473" s="26"/>
      <c r="L473" s="27"/>
    </row>
    <row r="474" spans="7:12" x14ac:dyDescent="0.3">
      <c r="G474" s="26"/>
      <c r="H474" s="26"/>
      <c r="I474" s="26"/>
      <c r="L474" s="27"/>
    </row>
    <row r="475" spans="7:12" x14ac:dyDescent="0.3">
      <c r="G475" s="26"/>
      <c r="H475" s="26"/>
      <c r="I475" s="26"/>
      <c r="L475" s="27"/>
    </row>
    <row r="476" spans="7:12" x14ac:dyDescent="0.3">
      <c r="G476" s="26"/>
      <c r="H476" s="26"/>
      <c r="I476" s="26"/>
      <c r="L476" s="27"/>
    </row>
    <row r="477" spans="7:12" x14ac:dyDescent="0.3">
      <c r="G477" s="26"/>
      <c r="H477" s="26"/>
      <c r="I477" s="26"/>
      <c r="L477" s="27"/>
    </row>
    <row r="478" spans="7:12" x14ac:dyDescent="0.3">
      <c r="G478" s="26"/>
      <c r="H478" s="26"/>
      <c r="I478" s="26"/>
      <c r="L478" s="27"/>
    </row>
    <row r="479" spans="7:12" x14ac:dyDescent="0.3">
      <c r="G479" s="26"/>
      <c r="H479" s="26"/>
      <c r="I479" s="26"/>
      <c r="L479" s="27"/>
    </row>
    <row r="480" spans="7:12" x14ac:dyDescent="0.3">
      <c r="G480" s="26"/>
      <c r="H480" s="26"/>
      <c r="I480" s="26"/>
      <c r="L480" s="27"/>
    </row>
    <row r="481" spans="7:12" x14ac:dyDescent="0.3">
      <c r="G481" s="26"/>
      <c r="H481" s="26"/>
      <c r="I481" s="26"/>
      <c r="L481" s="27"/>
    </row>
    <row r="482" spans="7:12" x14ac:dyDescent="0.3">
      <c r="G482" s="26"/>
      <c r="H482" s="26"/>
      <c r="I482" s="26"/>
      <c r="L482" s="27"/>
    </row>
    <row r="483" spans="7:12" x14ac:dyDescent="0.3">
      <c r="G483" s="26"/>
      <c r="H483" s="26"/>
      <c r="I483" s="26"/>
      <c r="L483" s="27"/>
    </row>
    <row r="484" spans="7:12" x14ac:dyDescent="0.3">
      <c r="G484" s="26"/>
      <c r="H484" s="26"/>
      <c r="I484" s="26"/>
      <c r="L484" s="27"/>
    </row>
    <row r="485" spans="7:12" x14ac:dyDescent="0.3">
      <c r="G485" s="26"/>
      <c r="H485" s="26"/>
      <c r="I485" s="26"/>
      <c r="L485" s="27"/>
    </row>
    <row r="486" spans="7:12" x14ac:dyDescent="0.3">
      <c r="G486" s="26"/>
      <c r="H486" s="26"/>
      <c r="I486" s="26"/>
      <c r="L486" s="27"/>
    </row>
    <row r="487" spans="7:12" x14ac:dyDescent="0.3">
      <c r="G487" s="26"/>
      <c r="H487" s="26"/>
      <c r="I487" s="26"/>
      <c r="L487" s="27"/>
    </row>
    <row r="488" spans="7:12" x14ac:dyDescent="0.3">
      <c r="G488" s="26"/>
      <c r="H488" s="26"/>
      <c r="I488" s="26"/>
      <c r="L488" s="27"/>
    </row>
    <row r="489" spans="7:12" x14ac:dyDescent="0.3">
      <c r="G489" s="26"/>
      <c r="H489" s="26"/>
      <c r="I489" s="26"/>
      <c r="L489" s="27"/>
    </row>
    <row r="490" spans="7:12" x14ac:dyDescent="0.3">
      <c r="G490" s="26"/>
      <c r="H490" s="26"/>
      <c r="I490" s="26"/>
      <c r="L490" s="27"/>
    </row>
    <row r="491" spans="7:12" x14ac:dyDescent="0.3">
      <c r="G491" s="26"/>
      <c r="H491" s="26"/>
      <c r="I491" s="26"/>
      <c r="L491" s="27"/>
    </row>
    <row r="492" spans="7:12" x14ac:dyDescent="0.3">
      <c r="G492" s="26"/>
      <c r="H492" s="26"/>
      <c r="I492" s="26"/>
      <c r="L492" s="27"/>
    </row>
    <row r="493" spans="7:12" x14ac:dyDescent="0.3">
      <c r="G493" s="26"/>
      <c r="H493" s="26"/>
      <c r="I493" s="26"/>
      <c r="L493" s="27"/>
    </row>
    <row r="494" spans="7:12" x14ac:dyDescent="0.3">
      <c r="G494" s="26"/>
      <c r="H494" s="26"/>
      <c r="I494" s="26"/>
      <c r="L494" s="27"/>
    </row>
    <row r="495" spans="7:12" x14ac:dyDescent="0.3">
      <c r="G495" s="26"/>
      <c r="H495" s="26"/>
      <c r="I495" s="26"/>
      <c r="L495" s="27"/>
    </row>
    <row r="496" spans="7:12" x14ac:dyDescent="0.3">
      <c r="G496" s="26"/>
      <c r="H496" s="26"/>
      <c r="I496" s="26"/>
      <c r="L496" s="27"/>
    </row>
    <row r="497" spans="7:12" x14ac:dyDescent="0.3">
      <c r="G497" s="26"/>
      <c r="H497" s="26"/>
      <c r="I497" s="26"/>
      <c r="L497" s="27"/>
    </row>
    <row r="498" spans="7:12" x14ac:dyDescent="0.3">
      <c r="G498" s="26"/>
      <c r="H498" s="26"/>
      <c r="I498" s="26"/>
      <c r="L498" s="27"/>
    </row>
    <row r="499" spans="7:12" x14ac:dyDescent="0.3">
      <c r="G499" s="26"/>
      <c r="H499" s="26"/>
      <c r="I499" s="26"/>
      <c r="L499" s="27"/>
    </row>
    <row r="500" spans="7:12" x14ac:dyDescent="0.3">
      <c r="G500" s="26"/>
      <c r="H500" s="26"/>
      <c r="I500" s="26"/>
      <c r="L500" s="27"/>
    </row>
    <row r="501" spans="7:12" x14ac:dyDescent="0.3">
      <c r="G501" s="26"/>
      <c r="H501" s="26"/>
      <c r="I501" s="26"/>
      <c r="L501" s="27"/>
    </row>
    <row r="502" spans="7:12" x14ac:dyDescent="0.3">
      <c r="G502" s="26"/>
      <c r="H502" s="26"/>
      <c r="I502" s="26"/>
      <c r="L502" s="27"/>
    </row>
    <row r="503" spans="7:12" x14ac:dyDescent="0.3">
      <c r="G503" s="26"/>
      <c r="H503" s="26"/>
      <c r="I503" s="26"/>
      <c r="L503" s="27"/>
    </row>
    <row r="504" spans="7:12" x14ac:dyDescent="0.3">
      <c r="G504" s="26"/>
      <c r="H504" s="26"/>
      <c r="I504" s="26"/>
      <c r="L504" s="27"/>
    </row>
    <row r="505" spans="7:12" x14ac:dyDescent="0.3">
      <c r="G505" s="26"/>
      <c r="H505" s="26"/>
      <c r="I505" s="26"/>
      <c r="L505" s="27"/>
    </row>
    <row r="506" spans="7:12" x14ac:dyDescent="0.3">
      <c r="G506" s="26"/>
      <c r="H506" s="26"/>
      <c r="I506" s="26"/>
      <c r="L506" s="27"/>
    </row>
    <row r="507" spans="7:12" x14ac:dyDescent="0.3">
      <c r="G507" s="26"/>
      <c r="H507" s="26"/>
      <c r="I507" s="26"/>
      <c r="L507" s="27"/>
    </row>
    <row r="508" spans="7:12" x14ac:dyDescent="0.3">
      <c r="G508" s="26"/>
      <c r="H508" s="26"/>
      <c r="I508" s="26"/>
      <c r="L508" s="27"/>
    </row>
    <row r="509" spans="7:12" x14ac:dyDescent="0.3">
      <c r="G509" s="26"/>
      <c r="H509" s="26"/>
      <c r="I509" s="26"/>
      <c r="L509" s="27"/>
    </row>
    <row r="510" spans="7:12" x14ac:dyDescent="0.3">
      <c r="G510" s="26"/>
      <c r="H510" s="26"/>
      <c r="I510" s="26"/>
      <c r="L510" s="27"/>
    </row>
    <row r="511" spans="7:12" x14ac:dyDescent="0.3">
      <c r="G511" s="26"/>
      <c r="H511" s="26"/>
      <c r="I511" s="26"/>
      <c r="L511" s="27"/>
    </row>
    <row r="512" spans="7:12" x14ac:dyDescent="0.3">
      <c r="G512" s="26"/>
      <c r="H512" s="26"/>
      <c r="I512" s="26"/>
      <c r="L512" s="27"/>
    </row>
    <row r="513" spans="7:12" x14ac:dyDescent="0.3">
      <c r="G513" s="26"/>
      <c r="H513" s="26"/>
      <c r="I513" s="26"/>
      <c r="L513" s="27"/>
    </row>
    <row r="514" spans="7:12" x14ac:dyDescent="0.3">
      <c r="G514" s="26"/>
      <c r="H514" s="26"/>
      <c r="I514" s="26"/>
      <c r="L514" s="27"/>
    </row>
    <row r="515" spans="7:12" x14ac:dyDescent="0.3">
      <c r="G515" s="26"/>
      <c r="H515" s="26"/>
      <c r="I515" s="26"/>
      <c r="L515" s="27"/>
    </row>
    <row r="516" spans="7:12" x14ac:dyDescent="0.3">
      <c r="G516" s="26"/>
      <c r="H516" s="26"/>
      <c r="I516" s="26"/>
      <c r="L516" s="27"/>
    </row>
    <row r="517" spans="7:12" x14ac:dyDescent="0.3">
      <c r="G517" s="26"/>
      <c r="H517" s="26"/>
      <c r="I517" s="26"/>
      <c r="L517" s="27"/>
    </row>
    <row r="518" spans="7:12" x14ac:dyDescent="0.3">
      <c r="G518" s="26"/>
      <c r="H518" s="26"/>
      <c r="I518" s="26"/>
      <c r="L518" s="27"/>
    </row>
    <row r="519" spans="7:12" x14ac:dyDescent="0.3">
      <c r="G519" s="26"/>
      <c r="H519" s="26"/>
      <c r="I519" s="26"/>
      <c r="L519" s="27"/>
    </row>
    <row r="520" spans="7:12" x14ac:dyDescent="0.3">
      <c r="G520" s="26"/>
      <c r="H520" s="26"/>
      <c r="I520" s="26"/>
      <c r="L520" s="27"/>
    </row>
    <row r="521" spans="7:12" x14ac:dyDescent="0.3">
      <c r="G521" s="26"/>
      <c r="H521" s="26"/>
      <c r="I521" s="26"/>
      <c r="L521" s="27"/>
    </row>
    <row r="522" spans="7:12" x14ac:dyDescent="0.3">
      <c r="G522" s="26"/>
      <c r="H522" s="26"/>
      <c r="I522" s="26"/>
      <c r="L522" s="27"/>
    </row>
    <row r="523" spans="7:12" x14ac:dyDescent="0.3">
      <c r="G523" s="26"/>
      <c r="H523" s="26"/>
      <c r="I523" s="26"/>
      <c r="L523" s="27"/>
    </row>
    <row r="524" spans="7:12" x14ac:dyDescent="0.3">
      <c r="G524" s="26"/>
      <c r="H524" s="26"/>
      <c r="I524" s="26"/>
      <c r="L524" s="27"/>
    </row>
    <row r="525" spans="7:12" x14ac:dyDescent="0.3">
      <c r="G525" s="26"/>
      <c r="H525" s="26"/>
      <c r="I525" s="26"/>
      <c r="L525" s="27"/>
    </row>
    <row r="526" spans="7:12" x14ac:dyDescent="0.3">
      <c r="G526" s="26"/>
      <c r="H526" s="26"/>
      <c r="I526" s="26"/>
      <c r="L526" s="27"/>
    </row>
    <row r="527" spans="7:12" x14ac:dyDescent="0.3">
      <c r="G527" s="26"/>
      <c r="H527" s="26"/>
      <c r="I527" s="26"/>
      <c r="L527" s="27"/>
    </row>
    <row r="528" spans="7:12" x14ac:dyDescent="0.3">
      <c r="G528" s="26"/>
      <c r="H528" s="26"/>
      <c r="I528" s="26"/>
      <c r="L528" s="27"/>
    </row>
    <row r="529" spans="7:12" x14ac:dyDescent="0.3">
      <c r="G529" s="26"/>
      <c r="H529" s="26"/>
      <c r="I529" s="26"/>
      <c r="L529" s="27"/>
    </row>
    <row r="530" spans="7:12" x14ac:dyDescent="0.3">
      <c r="G530" s="26"/>
      <c r="H530" s="26"/>
      <c r="I530" s="26"/>
      <c r="L530" s="27"/>
    </row>
    <row r="531" spans="7:12" x14ac:dyDescent="0.3">
      <c r="G531" s="26"/>
      <c r="H531" s="26"/>
      <c r="I531" s="26"/>
      <c r="L531" s="27"/>
    </row>
    <row r="532" spans="7:12" x14ac:dyDescent="0.3">
      <c r="G532" s="26"/>
      <c r="H532" s="26"/>
      <c r="I532" s="26"/>
      <c r="L532" s="27"/>
    </row>
    <row r="533" spans="7:12" x14ac:dyDescent="0.3">
      <c r="G533" s="26"/>
      <c r="H533" s="26"/>
      <c r="I533" s="26"/>
      <c r="L533" s="27"/>
    </row>
    <row r="534" spans="7:12" x14ac:dyDescent="0.3">
      <c r="G534" s="26"/>
      <c r="H534" s="26"/>
      <c r="I534" s="26"/>
      <c r="L534" s="27"/>
    </row>
    <row r="535" spans="7:12" x14ac:dyDescent="0.3">
      <c r="G535" s="26"/>
      <c r="H535" s="26"/>
      <c r="I535" s="26"/>
      <c r="L535" s="27"/>
    </row>
    <row r="536" spans="7:12" x14ac:dyDescent="0.3">
      <c r="G536" s="26"/>
      <c r="H536" s="26"/>
      <c r="I536" s="26"/>
      <c r="L536" s="27"/>
    </row>
    <row r="537" spans="7:12" x14ac:dyDescent="0.3">
      <c r="G537" s="26"/>
      <c r="H537" s="26"/>
      <c r="I537" s="26"/>
      <c r="L537" s="27"/>
    </row>
    <row r="538" spans="7:12" x14ac:dyDescent="0.3">
      <c r="G538" s="26"/>
      <c r="H538" s="26"/>
      <c r="I538" s="26"/>
      <c r="L538" s="27"/>
    </row>
    <row r="539" spans="7:12" x14ac:dyDescent="0.3">
      <c r="G539" s="26"/>
      <c r="H539" s="26"/>
      <c r="I539" s="26"/>
      <c r="L539" s="27"/>
    </row>
    <row r="540" spans="7:12" x14ac:dyDescent="0.3">
      <c r="G540" s="26"/>
      <c r="H540" s="26"/>
      <c r="I540" s="26"/>
      <c r="L540" s="27"/>
    </row>
    <row r="541" spans="7:12" x14ac:dyDescent="0.3">
      <c r="G541" s="26"/>
      <c r="H541" s="26"/>
      <c r="I541" s="26"/>
      <c r="L541" s="27"/>
    </row>
    <row r="542" spans="7:12" x14ac:dyDescent="0.3">
      <c r="G542" s="26"/>
      <c r="H542" s="26"/>
      <c r="I542" s="26"/>
      <c r="L542" s="27"/>
    </row>
    <row r="543" spans="7:12" x14ac:dyDescent="0.3">
      <c r="G543" s="26"/>
      <c r="H543" s="26"/>
      <c r="I543" s="26"/>
      <c r="L543" s="27"/>
    </row>
    <row r="544" spans="7:12" x14ac:dyDescent="0.3">
      <c r="G544" s="26"/>
      <c r="H544" s="26"/>
      <c r="I544" s="26"/>
      <c r="L544" s="27"/>
    </row>
    <row r="545" spans="7:12" x14ac:dyDescent="0.3">
      <c r="G545" s="26"/>
      <c r="H545" s="26"/>
      <c r="I545" s="26"/>
      <c r="L545" s="27"/>
    </row>
    <row r="546" spans="7:12" x14ac:dyDescent="0.3">
      <c r="G546" s="26"/>
      <c r="H546" s="26"/>
      <c r="I546" s="26"/>
      <c r="L546" s="27"/>
    </row>
    <row r="547" spans="7:12" x14ac:dyDescent="0.3">
      <c r="G547" s="26"/>
      <c r="H547" s="26"/>
      <c r="I547" s="26"/>
      <c r="L547" s="27"/>
    </row>
    <row r="548" spans="7:12" x14ac:dyDescent="0.3">
      <c r="G548" s="26"/>
      <c r="H548" s="26"/>
      <c r="I548" s="26"/>
      <c r="L548" s="27"/>
    </row>
    <row r="549" spans="7:12" x14ac:dyDescent="0.3">
      <c r="G549" s="26"/>
      <c r="H549" s="26"/>
      <c r="I549" s="26"/>
      <c r="L549" s="27"/>
    </row>
    <row r="550" spans="7:12" x14ac:dyDescent="0.3">
      <c r="G550" s="26"/>
      <c r="H550" s="26"/>
      <c r="I550" s="26"/>
      <c r="L550" s="27"/>
    </row>
    <row r="551" spans="7:12" x14ac:dyDescent="0.3">
      <c r="G551" s="26"/>
      <c r="H551" s="26"/>
      <c r="I551" s="26"/>
      <c r="L551" s="27"/>
    </row>
    <row r="552" spans="7:12" x14ac:dyDescent="0.3">
      <c r="G552" s="26"/>
      <c r="H552" s="26"/>
      <c r="I552" s="26"/>
      <c r="L552" s="27"/>
    </row>
    <row r="553" spans="7:12" x14ac:dyDescent="0.3">
      <c r="G553" s="26"/>
      <c r="H553" s="26"/>
      <c r="I553" s="26"/>
      <c r="L553" s="27"/>
    </row>
    <row r="554" spans="7:12" x14ac:dyDescent="0.3">
      <c r="G554" s="26"/>
      <c r="H554" s="26"/>
      <c r="I554" s="26"/>
      <c r="L554" s="27"/>
    </row>
    <row r="555" spans="7:12" x14ac:dyDescent="0.3">
      <c r="G555" s="26"/>
      <c r="H555" s="26"/>
      <c r="I555" s="26"/>
      <c r="L555" s="27"/>
    </row>
    <row r="556" spans="7:12" x14ac:dyDescent="0.3">
      <c r="G556" s="26"/>
      <c r="H556" s="26"/>
      <c r="I556" s="26"/>
      <c r="L556" s="27"/>
    </row>
    <row r="557" spans="7:12" x14ac:dyDescent="0.3">
      <c r="G557" s="26"/>
      <c r="H557" s="26"/>
      <c r="I557" s="26"/>
      <c r="L557" s="27"/>
    </row>
    <row r="558" spans="7:12" x14ac:dyDescent="0.3">
      <c r="G558" s="26"/>
      <c r="H558" s="26"/>
      <c r="I558" s="26"/>
      <c r="L558" s="27"/>
    </row>
    <row r="559" spans="7:12" x14ac:dyDescent="0.3">
      <c r="G559" s="26"/>
      <c r="H559" s="26"/>
      <c r="I559" s="26"/>
      <c r="L559" s="27"/>
    </row>
    <row r="560" spans="7:12" x14ac:dyDescent="0.3">
      <c r="G560" s="26"/>
      <c r="H560" s="26"/>
      <c r="I560" s="26"/>
      <c r="L560" s="27"/>
    </row>
    <row r="561" spans="7:12" x14ac:dyDescent="0.3">
      <c r="G561" s="26"/>
      <c r="H561" s="26"/>
      <c r="I561" s="26"/>
      <c r="L561" s="27"/>
    </row>
    <row r="562" spans="7:12" x14ac:dyDescent="0.3">
      <c r="G562" s="26"/>
      <c r="H562" s="26"/>
      <c r="I562" s="26"/>
      <c r="L562" s="27"/>
    </row>
    <row r="563" spans="7:12" x14ac:dyDescent="0.3">
      <c r="G563" s="26"/>
      <c r="H563" s="26"/>
      <c r="I563" s="26"/>
      <c r="L563" s="27"/>
    </row>
    <row r="564" spans="7:12" x14ac:dyDescent="0.3">
      <c r="G564" s="26"/>
      <c r="H564" s="26"/>
      <c r="I564" s="26"/>
      <c r="L564" s="27"/>
    </row>
    <row r="565" spans="7:12" x14ac:dyDescent="0.3">
      <c r="G565" s="26"/>
      <c r="H565" s="26"/>
      <c r="I565" s="26"/>
      <c r="L565" s="27"/>
    </row>
    <row r="566" spans="7:12" x14ac:dyDescent="0.3">
      <c r="G566" s="26"/>
      <c r="H566" s="26"/>
      <c r="I566" s="26"/>
      <c r="L566" s="27"/>
    </row>
    <row r="567" spans="7:12" x14ac:dyDescent="0.3">
      <c r="G567" s="26"/>
      <c r="H567" s="26"/>
      <c r="I567" s="26"/>
      <c r="L567" s="27"/>
    </row>
    <row r="568" spans="7:12" x14ac:dyDescent="0.3">
      <c r="G568" s="26"/>
      <c r="H568" s="26"/>
      <c r="I568" s="26"/>
      <c r="L568" s="27"/>
    </row>
    <row r="569" spans="7:12" x14ac:dyDescent="0.3">
      <c r="G569" s="26"/>
      <c r="H569" s="26"/>
      <c r="I569" s="26"/>
      <c r="L569" s="27"/>
    </row>
    <row r="570" spans="7:12" x14ac:dyDescent="0.3">
      <c r="G570" s="26"/>
      <c r="H570" s="26"/>
      <c r="I570" s="26"/>
      <c r="L570" s="27"/>
    </row>
    <row r="571" spans="7:12" x14ac:dyDescent="0.3">
      <c r="G571" s="26"/>
      <c r="H571" s="26"/>
      <c r="I571" s="26"/>
      <c r="L571" s="27"/>
    </row>
    <row r="572" spans="7:12" x14ac:dyDescent="0.3">
      <c r="G572" s="26"/>
      <c r="H572" s="26"/>
      <c r="I572" s="26"/>
      <c r="L572" s="27"/>
    </row>
    <row r="573" spans="7:12" x14ac:dyDescent="0.3">
      <c r="G573" s="26"/>
      <c r="H573" s="26"/>
      <c r="I573" s="26"/>
      <c r="L573" s="27"/>
    </row>
    <row r="574" spans="7:12" x14ac:dyDescent="0.3">
      <c r="G574" s="26"/>
      <c r="H574" s="26"/>
      <c r="I574" s="26"/>
      <c r="L574" s="27"/>
    </row>
    <row r="575" spans="7:12" x14ac:dyDescent="0.3">
      <c r="G575" s="26"/>
      <c r="H575" s="26"/>
      <c r="I575" s="26"/>
      <c r="L575" s="27"/>
    </row>
    <row r="576" spans="7:12" x14ac:dyDescent="0.3">
      <c r="G576" s="26"/>
      <c r="H576" s="26"/>
      <c r="I576" s="26"/>
      <c r="L576" s="27"/>
    </row>
    <row r="577" spans="7:12" x14ac:dyDescent="0.3">
      <c r="G577" s="26"/>
      <c r="H577" s="26"/>
      <c r="I577" s="26"/>
      <c r="L577" s="27"/>
    </row>
    <row r="578" spans="7:12" x14ac:dyDescent="0.3">
      <c r="G578" s="26"/>
      <c r="H578" s="26"/>
      <c r="I578" s="26"/>
      <c r="L578" s="27"/>
    </row>
    <row r="579" spans="7:12" x14ac:dyDescent="0.3">
      <c r="G579" s="26"/>
      <c r="H579" s="26"/>
      <c r="I579" s="26"/>
      <c r="L579" s="27"/>
    </row>
    <row r="580" spans="7:12" x14ac:dyDescent="0.3">
      <c r="G580" s="26"/>
      <c r="H580" s="26"/>
      <c r="I580" s="26"/>
      <c r="L580" s="27"/>
    </row>
    <row r="581" spans="7:12" x14ac:dyDescent="0.3">
      <c r="G581" s="26"/>
      <c r="H581" s="26"/>
      <c r="I581" s="26"/>
      <c r="L581" s="27"/>
    </row>
    <row r="582" spans="7:12" x14ac:dyDescent="0.3">
      <c r="G582" s="26"/>
      <c r="H582" s="26"/>
      <c r="I582" s="26"/>
      <c r="L582" s="27"/>
    </row>
    <row r="583" spans="7:12" x14ac:dyDescent="0.3">
      <c r="G583" s="26"/>
      <c r="H583" s="26"/>
      <c r="I583" s="26"/>
      <c r="L583" s="27"/>
    </row>
    <row r="584" spans="7:12" x14ac:dyDescent="0.3">
      <c r="G584" s="26"/>
      <c r="H584" s="26"/>
      <c r="I584" s="26"/>
      <c r="L584" s="27"/>
    </row>
    <row r="585" spans="7:12" x14ac:dyDescent="0.3">
      <c r="G585" s="26"/>
      <c r="H585" s="26"/>
      <c r="I585" s="26"/>
      <c r="L585" s="27"/>
    </row>
    <row r="586" spans="7:12" x14ac:dyDescent="0.3">
      <c r="G586" s="26"/>
      <c r="H586" s="26"/>
      <c r="I586" s="26"/>
      <c r="L586" s="27"/>
    </row>
    <row r="587" spans="7:12" x14ac:dyDescent="0.3">
      <c r="G587" s="26"/>
      <c r="H587" s="26"/>
      <c r="I587" s="26"/>
      <c r="L587" s="27"/>
    </row>
    <row r="588" spans="7:12" x14ac:dyDescent="0.3">
      <c r="G588" s="26"/>
      <c r="H588" s="26"/>
      <c r="I588" s="26"/>
      <c r="L588" s="27"/>
    </row>
    <row r="589" spans="7:12" x14ac:dyDescent="0.3">
      <c r="G589" s="26"/>
      <c r="H589" s="26"/>
      <c r="I589" s="26"/>
      <c r="L589" s="27"/>
    </row>
    <row r="590" spans="7:12" x14ac:dyDescent="0.3">
      <c r="G590" s="26"/>
      <c r="H590" s="26"/>
      <c r="I590" s="26"/>
      <c r="L590" s="27"/>
    </row>
    <row r="591" spans="7:12" x14ac:dyDescent="0.3">
      <c r="G591" s="26"/>
      <c r="H591" s="26"/>
      <c r="I591" s="26"/>
      <c r="L591" s="27"/>
    </row>
    <row r="592" spans="7:12" x14ac:dyDescent="0.3">
      <c r="G592" s="26"/>
      <c r="H592" s="26"/>
      <c r="I592" s="26"/>
      <c r="L592" s="27"/>
    </row>
    <row r="593" spans="7:12" x14ac:dyDescent="0.3">
      <c r="G593" s="26"/>
      <c r="H593" s="26"/>
      <c r="I593" s="26"/>
      <c r="L593" s="27"/>
    </row>
    <row r="594" spans="7:12" x14ac:dyDescent="0.3">
      <c r="G594" s="26"/>
      <c r="H594" s="26"/>
      <c r="I594" s="26"/>
      <c r="L594" s="27"/>
    </row>
    <row r="595" spans="7:12" x14ac:dyDescent="0.3">
      <c r="G595" s="26"/>
      <c r="H595" s="26"/>
      <c r="I595" s="26"/>
      <c r="L595" s="27"/>
    </row>
    <row r="596" spans="7:12" x14ac:dyDescent="0.3">
      <c r="G596" s="26"/>
      <c r="H596" s="26"/>
      <c r="I596" s="26"/>
      <c r="L596" s="27"/>
    </row>
    <row r="597" spans="7:12" x14ac:dyDescent="0.3">
      <c r="G597" s="26"/>
      <c r="H597" s="26"/>
      <c r="I597" s="26"/>
      <c r="L597" s="27"/>
    </row>
    <row r="598" spans="7:12" x14ac:dyDescent="0.3">
      <c r="G598" s="26"/>
      <c r="H598" s="26"/>
      <c r="I598" s="26"/>
      <c r="L598" s="27"/>
    </row>
    <row r="599" spans="7:12" x14ac:dyDescent="0.3">
      <c r="G599" s="26"/>
      <c r="H599" s="26"/>
      <c r="I599" s="26"/>
      <c r="L599" s="27"/>
    </row>
    <row r="600" spans="7:12" x14ac:dyDescent="0.3">
      <c r="G600" s="26"/>
      <c r="H600" s="26"/>
      <c r="I600" s="26"/>
      <c r="L600" s="27"/>
    </row>
    <row r="601" spans="7:12" x14ac:dyDescent="0.3">
      <c r="G601" s="26"/>
      <c r="H601" s="26"/>
      <c r="I601" s="26"/>
      <c r="L601" s="27"/>
    </row>
    <row r="602" spans="7:12" x14ac:dyDescent="0.3">
      <c r="G602" s="26"/>
      <c r="H602" s="26"/>
      <c r="I602" s="26"/>
      <c r="L602" s="27"/>
    </row>
    <row r="603" spans="7:12" x14ac:dyDescent="0.3">
      <c r="G603" s="26"/>
      <c r="H603" s="26"/>
      <c r="I603" s="26"/>
      <c r="L603" s="27"/>
    </row>
    <row r="604" spans="7:12" x14ac:dyDescent="0.3">
      <c r="G604" s="26"/>
      <c r="H604" s="26"/>
      <c r="I604" s="26"/>
      <c r="L604" s="27"/>
    </row>
    <row r="605" spans="7:12" x14ac:dyDescent="0.3">
      <c r="G605" s="26"/>
      <c r="H605" s="26"/>
      <c r="I605" s="26"/>
      <c r="L605" s="27"/>
    </row>
    <row r="606" spans="7:12" x14ac:dyDescent="0.3">
      <c r="G606" s="26"/>
      <c r="H606" s="26"/>
      <c r="I606" s="26"/>
      <c r="L606" s="27"/>
    </row>
    <row r="607" spans="7:12" x14ac:dyDescent="0.3">
      <c r="G607" s="26"/>
      <c r="H607" s="26"/>
      <c r="I607" s="26"/>
      <c r="L607" s="27"/>
    </row>
    <row r="608" spans="7:12" x14ac:dyDescent="0.3">
      <c r="G608" s="26"/>
      <c r="H608" s="26"/>
      <c r="I608" s="26"/>
      <c r="L608" s="27"/>
    </row>
    <row r="609" spans="7:12" x14ac:dyDescent="0.3">
      <c r="G609" s="26"/>
      <c r="H609" s="26"/>
      <c r="I609" s="26"/>
      <c r="L609" s="27"/>
    </row>
    <row r="610" spans="7:12" x14ac:dyDescent="0.3">
      <c r="G610" s="26"/>
      <c r="H610" s="26"/>
      <c r="I610" s="26"/>
      <c r="L610" s="27"/>
    </row>
    <row r="611" spans="7:12" x14ac:dyDescent="0.3">
      <c r="G611" s="26"/>
      <c r="H611" s="26"/>
      <c r="I611" s="26"/>
      <c r="L611" s="27"/>
    </row>
    <row r="612" spans="7:12" x14ac:dyDescent="0.3">
      <c r="G612" s="26"/>
      <c r="H612" s="26"/>
      <c r="I612" s="26"/>
      <c r="L612" s="27"/>
    </row>
    <row r="613" spans="7:12" x14ac:dyDescent="0.3">
      <c r="G613" s="26"/>
      <c r="H613" s="26"/>
      <c r="I613" s="26"/>
      <c r="L613" s="27"/>
    </row>
    <row r="614" spans="7:12" x14ac:dyDescent="0.3">
      <c r="G614" s="26"/>
      <c r="H614" s="26"/>
      <c r="I614" s="26"/>
      <c r="L614" s="27"/>
    </row>
    <row r="615" spans="7:12" x14ac:dyDescent="0.3">
      <c r="G615" s="26"/>
      <c r="H615" s="26"/>
      <c r="I615" s="26"/>
      <c r="L615" s="27"/>
    </row>
    <row r="616" spans="7:12" x14ac:dyDescent="0.3">
      <c r="G616" s="26"/>
      <c r="H616" s="26"/>
      <c r="I616" s="26"/>
      <c r="L616" s="27"/>
    </row>
    <row r="617" spans="7:12" x14ac:dyDescent="0.3">
      <c r="G617" s="26"/>
      <c r="H617" s="26"/>
      <c r="I617" s="26"/>
      <c r="L617" s="27"/>
    </row>
    <row r="618" spans="7:12" x14ac:dyDescent="0.3">
      <c r="G618" s="26"/>
      <c r="H618" s="26"/>
      <c r="I618" s="26"/>
      <c r="L618" s="27"/>
    </row>
    <row r="619" spans="7:12" x14ac:dyDescent="0.3">
      <c r="G619" s="26"/>
      <c r="H619" s="26"/>
      <c r="I619" s="26"/>
      <c r="L619" s="27"/>
    </row>
    <row r="620" spans="7:12" x14ac:dyDescent="0.3">
      <c r="G620" s="26"/>
      <c r="H620" s="26"/>
      <c r="I620" s="26"/>
      <c r="L620" s="27"/>
    </row>
    <row r="621" spans="7:12" x14ac:dyDescent="0.3">
      <c r="G621" s="26"/>
      <c r="H621" s="26"/>
      <c r="I621" s="26"/>
      <c r="L621" s="27"/>
    </row>
    <row r="622" spans="7:12" x14ac:dyDescent="0.3">
      <c r="G622" s="26"/>
      <c r="H622" s="26"/>
      <c r="I622" s="26"/>
      <c r="L622" s="27"/>
    </row>
    <row r="623" spans="7:12" x14ac:dyDescent="0.3">
      <c r="G623" s="26"/>
      <c r="H623" s="26"/>
      <c r="I623" s="26"/>
      <c r="L623" s="27"/>
    </row>
    <row r="624" spans="7:12" x14ac:dyDescent="0.3">
      <c r="G624" s="26"/>
      <c r="H624" s="26"/>
      <c r="I624" s="26"/>
      <c r="L624" s="27"/>
    </row>
    <row r="625" spans="7:12" x14ac:dyDescent="0.3">
      <c r="G625" s="26"/>
      <c r="H625" s="26"/>
      <c r="I625" s="26"/>
      <c r="L625" s="27"/>
    </row>
    <row r="626" spans="7:12" x14ac:dyDescent="0.3">
      <c r="G626" s="26"/>
      <c r="H626" s="26"/>
      <c r="I626" s="26"/>
      <c r="L626" s="27"/>
    </row>
    <row r="627" spans="7:12" x14ac:dyDescent="0.3">
      <c r="G627" s="26"/>
      <c r="H627" s="26"/>
      <c r="I627" s="26"/>
      <c r="L627" s="27"/>
    </row>
    <row r="628" spans="7:12" x14ac:dyDescent="0.3">
      <c r="G628" s="26"/>
      <c r="H628" s="26"/>
      <c r="I628" s="26"/>
      <c r="L628" s="27"/>
    </row>
    <row r="629" spans="7:12" x14ac:dyDescent="0.3">
      <c r="G629" s="26"/>
      <c r="H629" s="26"/>
      <c r="I629" s="26"/>
      <c r="L629" s="27"/>
    </row>
    <row r="630" spans="7:12" x14ac:dyDescent="0.3">
      <c r="G630" s="26"/>
      <c r="H630" s="26"/>
      <c r="I630" s="26"/>
      <c r="L630" s="27"/>
    </row>
    <row r="631" spans="7:12" x14ac:dyDescent="0.3">
      <c r="G631" s="26"/>
      <c r="H631" s="26"/>
      <c r="I631" s="26"/>
      <c r="L631" s="27"/>
    </row>
    <row r="632" spans="7:12" x14ac:dyDescent="0.3">
      <c r="G632" s="26"/>
      <c r="H632" s="26"/>
      <c r="I632" s="26"/>
      <c r="L632" s="27"/>
    </row>
    <row r="633" spans="7:12" x14ac:dyDescent="0.3">
      <c r="G633" s="26"/>
      <c r="H633" s="26"/>
      <c r="I633" s="26"/>
      <c r="L633" s="27"/>
    </row>
    <row r="634" spans="7:12" x14ac:dyDescent="0.3">
      <c r="G634" s="26"/>
      <c r="H634" s="26"/>
      <c r="I634" s="26"/>
      <c r="L634" s="27"/>
    </row>
    <row r="635" spans="7:12" x14ac:dyDescent="0.3">
      <c r="G635" s="26"/>
      <c r="H635" s="26"/>
      <c r="I635" s="26"/>
      <c r="L635" s="27"/>
    </row>
    <row r="636" spans="7:12" x14ac:dyDescent="0.3">
      <c r="G636" s="26"/>
      <c r="H636" s="26"/>
      <c r="I636" s="26"/>
      <c r="L636" s="27"/>
    </row>
    <row r="637" spans="7:12" x14ac:dyDescent="0.3">
      <c r="G637" s="26"/>
      <c r="H637" s="26"/>
      <c r="I637" s="26"/>
      <c r="L637" s="27"/>
    </row>
    <row r="638" spans="7:12" x14ac:dyDescent="0.3">
      <c r="G638" s="26"/>
      <c r="H638" s="26"/>
      <c r="I638" s="26"/>
      <c r="L638" s="27"/>
    </row>
    <row r="639" spans="7:12" x14ac:dyDescent="0.3">
      <c r="G639" s="26"/>
      <c r="H639" s="26"/>
      <c r="I639" s="26"/>
      <c r="L639" s="27"/>
    </row>
    <row r="640" spans="7:12" x14ac:dyDescent="0.3">
      <c r="G640" s="26"/>
      <c r="H640" s="26"/>
      <c r="I640" s="26"/>
      <c r="L640" s="27"/>
    </row>
    <row r="641" spans="7:12" x14ac:dyDescent="0.3">
      <c r="G641" s="26"/>
      <c r="H641" s="26"/>
      <c r="I641" s="26"/>
      <c r="L641" s="27"/>
    </row>
    <row r="642" spans="7:12" x14ac:dyDescent="0.3">
      <c r="G642" s="26"/>
      <c r="H642" s="26"/>
      <c r="I642" s="26"/>
      <c r="L642" s="27"/>
    </row>
    <row r="643" spans="7:12" x14ac:dyDescent="0.3">
      <c r="G643" s="26"/>
      <c r="H643" s="26"/>
      <c r="I643" s="26"/>
      <c r="L643" s="27"/>
    </row>
    <row r="644" spans="7:12" x14ac:dyDescent="0.3">
      <c r="G644" s="26"/>
      <c r="H644" s="26"/>
      <c r="I644" s="26"/>
      <c r="L644" s="27"/>
    </row>
    <row r="645" spans="7:12" x14ac:dyDescent="0.3">
      <c r="G645" s="26"/>
      <c r="H645" s="26"/>
      <c r="I645" s="26"/>
      <c r="L645" s="27"/>
    </row>
    <row r="646" spans="7:12" x14ac:dyDescent="0.3">
      <c r="G646" s="26"/>
      <c r="H646" s="26"/>
      <c r="I646" s="26"/>
      <c r="L646" s="27"/>
    </row>
    <row r="647" spans="7:12" x14ac:dyDescent="0.3">
      <c r="G647" s="26"/>
      <c r="H647" s="26"/>
      <c r="I647" s="26"/>
      <c r="L647" s="27"/>
    </row>
    <row r="648" spans="7:12" x14ac:dyDescent="0.3">
      <c r="G648" s="26"/>
      <c r="H648" s="26"/>
      <c r="I648" s="26"/>
      <c r="L648" s="27"/>
    </row>
    <row r="649" spans="7:12" x14ac:dyDescent="0.3">
      <c r="G649" s="26"/>
      <c r="H649" s="26"/>
      <c r="I649" s="26"/>
      <c r="L649" s="27"/>
    </row>
    <row r="650" spans="7:12" x14ac:dyDescent="0.3">
      <c r="G650" s="26"/>
      <c r="H650" s="26"/>
      <c r="I650" s="26"/>
      <c r="L650" s="27"/>
    </row>
    <row r="651" spans="7:12" x14ac:dyDescent="0.3">
      <c r="G651" s="26"/>
      <c r="H651" s="26"/>
      <c r="I651" s="26"/>
      <c r="L651" s="27"/>
    </row>
    <row r="652" spans="7:12" x14ac:dyDescent="0.3">
      <c r="G652" s="26"/>
      <c r="H652" s="26"/>
      <c r="I652" s="26"/>
      <c r="L652" s="27"/>
    </row>
    <row r="653" spans="7:12" x14ac:dyDescent="0.3">
      <c r="G653" s="26"/>
      <c r="H653" s="26"/>
      <c r="I653" s="26"/>
      <c r="L653" s="27"/>
    </row>
    <row r="654" spans="7:12" x14ac:dyDescent="0.3">
      <c r="G654" s="26"/>
      <c r="H654" s="26"/>
      <c r="I654" s="26"/>
      <c r="L654" s="27"/>
    </row>
    <row r="655" spans="7:12" x14ac:dyDescent="0.3">
      <c r="G655" s="26"/>
      <c r="H655" s="26"/>
      <c r="I655" s="26"/>
      <c r="L655" s="27"/>
    </row>
    <row r="656" spans="7:12" x14ac:dyDescent="0.3">
      <c r="G656" s="26"/>
      <c r="H656" s="26"/>
      <c r="I656" s="26"/>
      <c r="L656" s="27"/>
    </row>
    <row r="657" spans="7:12" x14ac:dyDescent="0.3">
      <c r="G657" s="26"/>
      <c r="H657" s="26"/>
      <c r="I657" s="26"/>
      <c r="L657" s="27"/>
    </row>
    <row r="658" spans="7:12" x14ac:dyDescent="0.3">
      <c r="G658" s="26"/>
      <c r="H658" s="26"/>
      <c r="I658" s="26"/>
      <c r="L658" s="27"/>
    </row>
    <row r="659" spans="7:12" x14ac:dyDescent="0.3">
      <c r="G659" s="26"/>
      <c r="H659" s="26"/>
      <c r="I659" s="26"/>
      <c r="L659" s="27"/>
    </row>
    <row r="660" spans="7:12" x14ac:dyDescent="0.3">
      <c r="G660" s="26"/>
      <c r="H660" s="26"/>
      <c r="I660" s="26"/>
      <c r="L660" s="27"/>
    </row>
    <row r="661" spans="7:12" x14ac:dyDescent="0.3">
      <c r="G661" s="26"/>
      <c r="H661" s="26"/>
      <c r="I661" s="26"/>
      <c r="L661" s="27"/>
    </row>
    <row r="662" spans="7:12" x14ac:dyDescent="0.3">
      <c r="G662" s="26"/>
      <c r="H662" s="26"/>
      <c r="I662" s="26"/>
      <c r="L662" s="27"/>
    </row>
    <row r="663" spans="7:12" x14ac:dyDescent="0.3">
      <c r="G663" s="26"/>
      <c r="H663" s="26"/>
      <c r="I663" s="26"/>
      <c r="L663" s="27"/>
    </row>
    <row r="664" spans="7:12" x14ac:dyDescent="0.3">
      <c r="G664" s="26"/>
      <c r="H664" s="26"/>
      <c r="I664" s="26"/>
      <c r="L664" s="27"/>
    </row>
    <row r="665" spans="7:12" x14ac:dyDescent="0.3">
      <c r="G665" s="26"/>
      <c r="H665" s="26"/>
      <c r="I665" s="26"/>
      <c r="L665" s="27"/>
    </row>
    <row r="666" spans="7:12" x14ac:dyDescent="0.3">
      <c r="G666" s="26"/>
      <c r="H666" s="26"/>
      <c r="I666" s="26"/>
      <c r="L666" s="27"/>
    </row>
    <row r="667" spans="7:12" x14ac:dyDescent="0.3">
      <c r="G667" s="26"/>
      <c r="H667" s="26"/>
      <c r="I667" s="26"/>
      <c r="L667" s="27"/>
    </row>
    <row r="668" spans="7:12" x14ac:dyDescent="0.3">
      <c r="G668" s="26"/>
      <c r="H668" s="26"/>
      <c r="I668" s="26"/>
      <c r="L668" s="27"/>
    </row>
    <row r="669" spans="7:12" x14ac:dyDescent="0.3">
      <c r="G669" s="26"/>
      <c r="H669" s="26"/>
      <c r="I669" s="26"/>
      <c r="L669" s="27"/>
    </row>
    <row r="670" spans="7:12" x14ac:dyDescent="0.3">
      <c r="G670" s="26"/>
      <c r="H670" s="26"/>
      <c r="I670" s="26"/>
      <c r="L670" s="27"/>
    </row>
    <row r="671" spans="7:12" x14ac:dyDescent="0.3">
      <c r="G671" s="26"/>
      <c r="H671" s="26"/>
      <c r="I671" s="26"/>
      <c r="L671" s="27"/>
    </row>
    <row r="672" spans="7:12" x14ac:dyDescent="0.3">
      <c r="G672" s="26"/>
      <c r="H672" s="26"/>
      <c r="I672" s="26"/>
      <c r="L672" s="27"/>
    </row>
    <row r="673" spans="7:12" x14ac:dyDescent="0.3">
      <c r="G673" s="26"/>
      <c r="H673" s="26"/>
      <c r="I673" s="26"/>
      <c r="L673" s="27"/>
    </row>
    <row r="674" spans="7:12" x14ac:dyDescent="0.3">
      <c r="G674" s="26"/>
      <c r="H674" s="26"/>
      <c r="I674" s="26"/>
      <c r="L674" s="27"/>
    </row>
    <row r="675" spans="7:12" x14ac:dyDescent="0.3">
      <c r="G675" s="26"/>
      <c r="H675" s="26"/>
      <c r="I675" s="26"/>
      <c r="L675" s="27"/>
    </row>
    <row r="676" spans="7:12" x14ac:dyDescent="0.3">
      <c r="G676" s="26"/>
      <c r="H676" s="26"/>
      <c r="I676" s="26"/>
      <c r="L676" s="27"/>
    </row>
    <row r="677" spans="7:12" x14ac:dyDescent="0.3">
      <c r="G677" s="26"/>
      <c r="H677" s="26"/>
      <c r="I677" s="26"/>
      <c r="L677" s="27"/>
    </row>
    <row r="678" spans="7:12" x14ac:dyDescent="0.3">
      <c r="G678" s="26"/>
      <c r="H678" s="26"/>
      <c r="I678" s="26"/>
      <c r="L678" s="27"/>
    </row>
    <row r="679" spans="7:12" x14ac:dyDescent="0.3">
      <c r="G679" s="26"/>
      <c r="H679" s="26"/>
      <c r="I679" s="26"/>
      <c r="L679" s="27"/>
    </row>
    <row r="680" spans="7:12" x14ac:dyDescent="0.3">
      <c r="G680" s="26"/>
      <c r="H680" s="26"/>
      <c r="I680" s="26"/>
      <c r="L680" s="27"/>
    </row>
    <row r="681" spans="7:12" x14ac:dyDescent="0.3">
      <c r="G681" s="26"/>
      <c r="H681" s="26"/>
      <c r="I681" s="26"/>
      <c r="L681" s="27"/>
    </row>
    <row r="682" spans="7:12" x14ac:dyDescent="0.3">
      <c r="G682" s="26"/>
      <c r="H682" s="26"/>
      <c r="I682" s="26"/>
      <c r="L682" s="27"/>
    </row>
    <row r="683" spans="7:12" x14ac:dyDescent="0.3">
      <c r="G683" s="26"/>
      <c r="H683" s="26"/>
      <c r="I683" s="26"/>
      <c r="L683" s="27"/>
    </row>
    <row r="684" spans="7:12" x14ac:dyDescent="0.3">
      <c r="G684" s="26"/>
      <c r="H684" s="26"/>
      <c r="I684" s="26"/>
      <c r="L684" s="27"/>
    </row>
    <row r="685" spans="7:12" x14ac:dyDescent="0.3">
      <c r="G685" s="26"/>
      <c r="H685" s="26"/>
      <c r="I685" s="26"/>
      <c r="L685" s="27"/>
    </row>
    <row r="686" spans="7:12" x14ac:dyDescent="0.3">
      <c r="G686" s="26"/>
      <c r="H686" s="26"/>
      <c r="I686" s="26"/>
      <c r="L686" s="27"/>
    </row>
    <row r="687" spans="7:12" x14ac:dyDescent="0.3">
      <c r="G687" s="26"/>
      <c r="H687" s="26"/>
      <c r="I687" s="26"/>
      <c r="L687" s="27"/>
    </row>
    <row r="688" spans="7:12" x14ac:dyDescent="0.3">
      <c r="G688" s="26"/>
      <c r="H688" s="26"/>
      <c r="I688" s="26"/>
      <c r="L688" s="27"/>
    </row>
    <row r="689" spans="7:12" x14ac:dyDescent="0.3">
      <c r="G689" s="26"/>
      <c r="H689" s="26"/>
      <c r="I689" s="26"/>
      <c r="L689" s="27"/>
    </row>
    <row r="690" spans="7:12" x14ac:dyDescent="0.3">
      <c r="G690" s="26"/>
      <c r="H690" s="26"/>
      <c r="I690" s="26"/>
      <c r="L690" s="27"/>
    </row>
    <row r="691" spans="7:12" x14ac:dyDescent="0.3">
      <c r="G691" s="26"/>
      <c r="H691" s="26"/>
      <c r="I691" s="26"/>
      <c r="L691" s="27"/>
    </row>
    <row r="692" spans="7:12" x14ac:dyDescent="0.3">
      <c r="G692" s="26"/>
      <c r="H692" s="26"/>
      <c r="I692" s="26"/>
      <c r="L692" s="27"/>
    </row>
    <row r="693" spans="7:12" x14ac:dyDescent="0.3">
      <c r="G693" s="26"/>
      <c r="H693" s="26"/>
      <c r="I693" s="26"/>
      <c r="L693" s="27"/>
    </row>
    <row r="694" spans="7:12" x14ac:dyDescent="0.3">
      <c r="G694" s="26"/>
      <c r="H694" s="26"/>
      <c r="I694" s="26"/>
      <c r="L694" s="27"/>
    </row>
    <row r="695" spans="7:12" x14ac:dyDescent="0.3">
      <c r="G695" s="26"/>
      <c r="H695" s="26"/>
      <c r="I695" s="26"/>
      <c r="L695" s="27"/>
    </row>
    <row r="696" spans="7:12" x14ac:dyDescent="0.3">
      <c r="G696" s="26"/>
      <c r="H696" s="26"/>
      <c r="I696" s="26"/>
      <c r="L696" s="27"/>
    </row>
    <row r="697" spans="7:12" x14ac:dyDescent="0.3">
      <c r="G697" s="26"/>
      <c r="H697" s="26"/>
      <c r="I697" s="26"/>
      <c r="L697" s="27"/>
    </row>
    <row r="698" spans="7:12" x14ac:dyDescent="0.3">
      <c r="G698" s="26"/>
      <c r="H698" s="26"/>
      <c r="I698" s="26"/>
      <c r="L698" s="27"/>
    </row>
    <row r="699" spans="7:12" x14ac:dyDescent="0.3">
      <c r="G699" s="26"/>
      <c r="H699" s="26"/>
      <c r="I699" s="26"/>
      <c r="L699" s="27"/>
    </row>
    <row r="700" spans="7:12" x14ac:dyDescent="0.3">
      <c r="G700" s="26"/>
      <c r="H700" s="26"/>
      <c r="I700" s="26"/>
      <c r="L700" s="27"/>
    </row>
    <row r="701" spans="7:12" x14ac:dyDescent="0.3">
      <c r="G701" s="26"/>
      <c r="H701" s="26"/>
      <c r="I701" s="26"/>
      <c r="L701" s="27"/>
    </row>
    <row r="702" spans="7:12" x14ac:dyDescent="0.3">
      <c r="G702" s="26"/>
      <c r="H702" s="26"/>
      <c r="I702" s="26"/>
      <c r="L702" s="27"/>
    </row>
    <row r="703" spans="7:12" x14ac:dyDescent="0.3">
      <c r="G703" s="26"/>
      <c r="H703" s="26"/>
      <c r="I703" s="26"/>
      <c r="L703" s="27"/>
    </row>
    <row r="704" spans="7:12" x14ac:dyDescent="0.3">
      <c r="G704" s="26"/>
      <c r="H704" s="26"/>
      <c r="I704" s="26"/>
      <c r="L704" s="27"/>
    </row>
    <row r="705" spans="7:12" x14ac:dyDescent="0.3">
      <c r="G705" s="26"/>
      <c r="H705" s="26"/>
      <c r="I705" s="26"/>
      <c r="L705" s="27"/>
    </row>
    <row r="706" spans="7:12" x14ac:dyDescent="0.3">
      <c r="G706" s="26"/>
      <c r="H706" s="26"/>
      <c r="I706" s="26"/>
      <c r="L706" s="27"/>
    </row>
    <row r="707" spans="7:12" x14ac:dyDescent="0.3">
      <c r="G707" s="26"/>
      <c r="H707" s="26"/>
      <c r="I707" s="26"/>
      <c r="L707" s="27"/>
    </row>
    <row r="708" spans="7:12" x14ac:dyDescent="0.3">
      <c r="G708" s="26"/>
      <c r="H708" s="26"/>
      <c r="I708" s="26"/>
      <c r="L708" s="27"/>
    </row>
    <row r="709" spans="7:12" x14ac:dyDescent="0.3">
      <c r="G709" s="26"/>
      <c r="H709" s="26"/>
      <c r="I709" s="26"/>
      <c r="L709" s="27"/>
    </row>
    <row r="710" spans="7:12" x14ac:dyDescent="0.3">
      <c r="G710" s="26"/>
      <c r="H710" s="26"/>
      <c r="I710" s="26"/>
      <c r="L710" s="27"/>
    </row>
    <row r="711" spans="7:12" x14ac:dyDescent="0.3">
      <c r="G711" s="26"/>
      <c r="H711" s="26"/>
      <c r="I711" s="26"/>
      <c r="L711" s="27"/>
    </row>
    <row r="712" spans="7:12" x14ac:dyDescent="0.3">
      <c r="G712" s="26"/>
      <c r="H712" s="26"/>
      <c r="I712" s="26"/>
      <c r="L712" s="27"/>
    </row>
    <row r="713" spans="7:12" x14ac:dyDescent="0.3">
      <c r="G713" s="26"/>
      <c r="H713" s="26"/>
      <c r="I713" s="26"/>
      <c r="L713" s="27"/>
    </row>
    <row r="714" spans="7:12" x14ac:dyDescent="0.3">
      <c r="G714" s="26"/>
      <c r="H714" s="26"/>
      <c r="I714" s="26"/>
      <c r="L714" s="27"/>
    </row>
    <row r="715" spans="7:12" x14ac:dyDescent="0.3">
      <c r="G715" s="26"/>
      <c r="H715" s="26"/>
      <c r="I715" s="26"/>
      <c r="L715" s="27"/>
    </row>
    <row r="716" spans="7:12" x14ac:dyDescent="0.3">
      <c r="G716" s="26"/>
      <c r="H716" s="26"/>
      <c r="I716" s="26"/>
      <c r="L716" s="27"/>
    </row>
    <row r="717" spans="7:12" x14ac:dyDescent="0.3">
      <c r="G717" s="26"/>
      <c r="H717" s="26"/>
      <c r="I717" s="26"/>
      <c r="L717" s="27"/>
    </row>
    <row r="718" spans="7:12" x14ac:dyDescent="0.3">
      <c r="G718" s="26"/>
      <c r="H718" s="26"/>
      <c r="I718" s="26"/>
      <c r="L718" s="27"/>
    </row>
    <row r="719" spans="7:12" x14ac:dyDescent="0.3">
      <c r="G719" s="26"/>
      <c r="H719" s="26"/>
      <c r="I719" s="26"/>
      <c r="L719" s="27"/>
    </row>
    <row r="720" spans="7:12" x14ac:dyDescent="0.3">
      <c r="G720" s="26"/>
      <c r="H720" s="26"/>
      <c r="I720" s="26"/>
      <c r="L720" s="27"/>
    </row>
    <row r="721" spans="7:12" x14ac:dyDescent="0.3">
      <c r="G721" s="26"/>
      <c r="H721" s="26"/>
      <c r="I721" s="26"/>
      <c r="L721" s="27"/>
    </row>
    <row r="722" spans="7:12" x14ac:dyDescent="0.3">
      <c r="G722" s="26"/>
      <c r="H722" s="26"/>
      <c r="I722" s="26"/>
      <c r="L722" s="27"/>
    </row>
    <row r="723" spans="7:12" x14ac:dyDescent="0.3">
      <c r="G723" s="26"/>
      <c r="H723" s="26"/>
      <c r="I723" s="26"/>
      <c r="L723" s="27"/>
    </row>
    <row r="724" spans="7:12" x14ac:dyDescent="0.3">
      <c r="G724" s="26"/>
      <c r="H724" s="26"/>
      <c r="I724" s="26"/>
      <c r="L724" s="27"/>
    </row>
    <row r="725" spans="7:12" x14ac:dyDescent="0.3">
      <c r="G725" s="26"/>
      <c r="H725" s="26"/>
      <c r="I725" s="26"/>
      <c r="L725" s="27"/>
    </row>
    <row r="726" spans="7:12" x14ac:dyDescent="0.3">
      <c r="G726" s="26"/>
      <c r="H726" s="26"/>
      <c r="I726" s="26"/>
      <c r="L726" s="27"/>
    </row>
    <row r="727" spans="7:12" x14ac:dyDescent="0.3">
      <c r="G727" s="26"/>
      <c r="H727" s="26"/>
      <c r="I727" s="26"/>
      <c r="L727" s="27"/>
    </row>
    <row r="728" spans="7:12" x14ac:dyDescent="0.3">
      <c r="G728" s="26"/>
      <c r="H728" s="26"/>
      <c r="I728" s="26"/>
      <c r="L728" s="27"/>
    </row>
    <row r="729" spans="7:12" x14ac:dyDescent="0.3">
      <c r="G729" s="26"/>
      <c r="H729" s="26"/>
      <c r="I729" s="26"/>
      <c r="L729" s="27"/>
    </row>
    <row r="730" spans="7:12" x14ac:dyDescent="0.3">
      <c r="G730" s="26"/>
      <c r="H730" s="26"/>
      <c r="I730" s="26"/>
      <c r="L730" s="27"/>
    </row>
    <row r="731" spans="7:12" x14ac:dyDescent="0.3">
      <c r="G731" s="26"/>
      <c r="H731" s="26"/>
      <c r="I731" s="26"/>
      <c r="L731" s="27"/>
    </row>
    <row r="732" spans="7:12" x14ac:dyDescent="0.3">
      <c r="G732" s="26"/>
      <c r="H732" s="26"/>
      <c r="I732" s="26"/>
      <c r="L732" s="27"/>
    </row>
    <row r="733" spans="7:12" x14ac:dyDescent="0.3">
      <c r="G733" s="26"/>
      <c r="H733" s="26"/>
      <c r="I733" s="26"/>
      <c r="L733" s="27"/>
    </row>
    <row r="734" spans="7:12" x14ac:dyDescent="0.3">
      <c r="G734" s="26"/>
      <c r="H734" s="26"/>
      <c r="I734" s="26"/>
      <c r="L734" s="27"/>
    </row>
    <row r="735" spans="7:12" x14ac:dyDescent="0.3">
      <c r="G735" s="26"/>
      <c r="H735" s="26"/>
      <c r="I735" s="26"/>
      <c r="L735" s="27"/>
    </row>
    <row r="736" spans="7:12" x14ac:dyDescent="0.3">
      <c r="G736" s="26"/>
      <c r="H736" s="26"/>
      <c r="I736" s="26"/>
      <c r="L736" s="27"/>
    </row>
    <row r="737" spans="7:12" x14ac:dyDescent="0.3">
      <c r="G737" s="26"/>
      <c r="H737" s="26"/>
      <c r="I737" s="26"/>
      <c r="L737" s="27"/>
    </row>
    <row r="738" spans="7:12" x14ac:dyDescent="0.3">
      <c r="G738" s="26"/>
      <c r="H738" s="26"/>
      <c r="I738" s="26"/>
      <c r="L738" s="27"/>
    </row>
    <row r="739" spans="7:12" x14ac:dyDescent="0.3">
      <c r="G739" s="26"/>
      <c r="H739" s="26"/>
      <c r="I739" s="26"/>
      <c r="L739" s="27"/>
    </row>
    <row r="740" spans="7:12" x14ac:dyDescent="0.3">
      <c r="G740" s="26"/>
      <c r="H740" s="26"/>
      <c r="I740" s="26"/>
      <c r="L740" s="27"/>
    </row>
    <row r="741" spans="7:12" x14ac:dyDescent="0.3">
      <c r="G741" s="26"/>
      <c r="H741" s="26"/>
      <c r="I741" s="26"/>
      <c r="L741" s="27"/>
    </row>
    <row r="742" spans="7:12" x14ac:dyDescent="0.3">
      <c r="G742" s="26"/>
      <c r="H742" s="26"/>
      <c r="I742" s="26"/>
      <c r="L742" s="27"/>
    </row>
    <row r="743" spans="7:12" x14ac:dyDescent="0.3">
      <c r="G743" s="26"/>
      <c r="H743" s="26"/>
      <c r="I743" s="26"/>
      <c r="L743" s="27"/>
    </row>
    <row r="744" spans="7:12" x14ac:dyDescent="0.3">
      <c r="G744" s="26"/>
      <c r="H744" s="26"/>
      <c r="I744" s="26"/>
      <c r="L744" s="27"/>
    </row>
    <row r="745" spans="7:12" x14ac:dyDescent="0.3">
      <c r="G745" s="26"/>
      <c r="H745" s="26"/>
      <c r="I745" s="26"/>
      <c r="L745" s="27"/>
    </row>
    <row r="746" spans="7:12" x14ac:dyDescent="0.3">
      <c r="G746" s="26"/>
      <c r="H746" s="26"/>
      <c r="I746" s="26"/>
      <c r="L746" s="27"/>
    </row>
    <row r="747" spans="7:12" x14ac:dyDescent="0.3">
      <c r="G747" s="26"/>
      <c r="H747" s="26"/>
      <c r="I747" s="26"/>
      <c r="L747" s="27"/>
    </row>
    <row r="748" spans="7:12" x14ac:dyDescent="0.3">
      <c r="G748" s="26"/>
      <c r="H748" s="26"/>
      <c r="I748" s="26"/>
      <c r="L748" s="27"/>
    </row>
    <row r="749" spans="7:12" x14ac:dyDescent="0.3">
      <c r="G749" s="26"/>
      <c r="H749" s="26"/>
      <c r="I749" s="26"/>
      <c r="L749" s="27"/>
    </row>
    <row r="750" spans="7:12" x14ac:dyDescent="0.3">
      <c r="G750" s="26"/>
      <c r="H750" s="26"/>
      <c r="I750" s="26"/>
      <c r="L750" s="27"/>
    </row>
    <row r="751" spans="7:12" x14ac:dyDescent="0.3">
      <c r="G751" s="26"/>
      <c r="H751" s="26"/>
      <c r="I751" s="26"/>
      <c r="L751" s="27"/>
    </row>
    <row r="752" spans="7:12" x14ac:dyDescent="0.3">
      <c r="G752" s="26"/>
      <c r="H752" s="26"/>
      <c r="I752" s="26"/>
      <c r="L752" s="27"/>
    </row>
    <row r="753" spans="7:12" x14ac:dyDescent="0.3">
      <c r="G753" s="26"/>
      <c r="H753" s="26"/>
      <c r="I753" s="26"/>
      <c r="L753" s="27"/>
    </row>
    <row r="754" spans="7:12" x14ac:dyDescent="0.3">
      <c r="G754" s="26"/>
      <c r="H754" s="26"/>
      <c r="I754" s="26"/>
      <c r="L754" s="27"/>
    </row>
    <row r="755" spans="7:12" x14ac:dyDescent="0.3">
      <c r="G755" s="26"/>
      <c r="H755" s="26"/>
      <c r="I755" s="26"/>
      <c r="L755" s="27"/>
    </row>
    <row r="756" spans="7:12" x14ac:dyDescent="0.3">
      <c r="G756" s="26"/>
      <c r="H756" s="26"/>
      <c r="I756" s="26"/>
      <c r="L756" s="27"/>
    </row>
    <row r="757" spans="7:12" x14ac:dyDescent="0.3">
      <c r="G757" s="26"/>
      <c r="H757" s="26"/>
      <c r="I757" s="26"/>
      <c r="L757" s="27"/>
    </row>
    <row r="758" spans="7:12" x14ac:dyDescent="0.3">
      <c r="G758" s="26"/>
      <c r="H758" s="26"/>
      <c r="I758" s="26"/>
      <c r="L758" s="27"/>
    </row>
    <row r="759" spans="7:12" x14ac:dyDescent="0.3">
      <c r="G759" s="26"/>
      <c r="H759" s="26"/>
      <c r="I759" s="26"/>
      <c r="L759" s="27"/>
    </row>
    <row r="760" spans="7:12" x14ac:dyDescent="0.3">
      <c r="G760" s="26"/>
      <c r="H760" s="26"/>
      <c r="I760" s="26"/>
      <c r="L760" s="27"/>
    </row>
    <row r="761" spans="7:12" x14ac:dyDescent="0.3">
      <c r="G761" s="26"/>
      <c r="H761" s="26"/>
      <c r="I761" s="26"/>
      <c r="L761" s="27"/>
    </row>
    <row r="762" spans="7:12" x14ac:dyDescent="0.3">
      <c r="G762" s="26"/>
      <c r="H762" s="26"/>
      <c r="I762" s="26"/>
      <c r="L762" s="27"/>
    </row>
    <row r="763" spans="7:12" x14ac:dyDescent="0.3">
      <c r="G763" s="26"/>
      <c r="H763" s="26"/>
      <c r="I763" s="26"/>
      <c r="L763" s="27"/>
    </row>
    <row r="764" spans="7:12" x14ac:dyDescent="0.3">
      <c r="G764" s="26"/>
      <c r="H764" s="26"/>
      <c r="I764" s="26"/>
      <c r="L764" s="27"/>
    </row>
    <row r="765" spans="7:12" x14ac:dyDescent="0.3">
      <c r="G765" s="26"/>
      <c r="H765" s="26"/>
      <c r="I765" s="26"/>
      <c r="L765" s="27"/>
    </row>
    <row r="766" spans="7:12" x14ac:dyDescent="0.3">
      <c r="G766" s="26"/>
      <c r="H766" s="26"/>
      <c r="I766" s="26"/>
      <c r="L766" s="27"/>
    </row>
    <row r="767" spans="7:12" x14ac:dyDescent="0.3">
      <c r="G767" s="26"/>
      <c r="H767" s="26"/>
      <c r="I767" s="26"/>
      <c r="L767" s="27"/>
    </row>
    <row r="768" spans="7:12" x14ac:dyDescent="0.3">
      <c r="G768" s="26"/>
      <c r="H768" s="26"/>
      <c r="I768" s="26"/>
      <c r="L768" s="27"/>
    </row>
    <row r="769" spans="7:12" x14ac:dyDescent="0.3">
      <c r="G769" s="26"/>
      <c r="H769" s="26"/>
      <c r="I769" s="26"/>
      <c r="L769" s="27"/>
    </row>
    <row r="770" spans="7:12" x14ac:dyDescent="0.3">
      <c r="G770" s="26"/>
      <c r="H770" s="26"/>
      <c r="I770" s="26"/>
      <c r="L770" s="27"/>
    </row>
    <row r="771" spans="7:12" x14ac:dyDescent="0.3">
      <c r="G771" s="26"/>
      <c r="H771" s="26"/>
      <c r="I771" s="26"/>
      <c r="L771" s="27"/>
    </row>
    <row r="772" spans="7:12" x14ac:dyDescent="0.3">
      <c r="G772" s="26"/>
      <c r="H772" s="26"/>
      <c r="I772" s="26"/>
      <c r="L772" s="27"/>
    </row>
    <row r="773" spans="7:12" x14ac:dyDescent="0.3">
      <c r="G773" s="26"/>
      <c r="H773" s="26"/>
      <c r="I773" s="26"/>
      <c r="L773" s="27"/>
    </row>
    <row r="774" spans="7:12" x14ac:dyDescent="0.3">
      <c r="G774" s="26"/>
      <c r="H774" s="26"/>
      <c r="I774" s="26"/>
      <c r="L774" s="27"/>
    </row>
    <row r="775" spans="7:12" x14ac:dyDescent="0.3">
      <c r="G775" s="26"/>
      <c r="H775" s="26"/>
      <c r="I775" s="26"/>
      <c r="L775" s="27"/>
    </row>
    <row r="776" spans="7:12" x14ac:dyDescent="0.3">
      <c r="G776" s="26"/>
      <c r="H776" s="26"/>
      <c r="I776" s="26"/>
      <c r="L776" s="27"/>
    </row>
    <row r="777" spans="7:12" x14ac:dyDescent="0.3">
      <c r="G777" s="26"/>
      <c r="H777" s="26"/>
      <c r="I777" s="26"/>
      <c r="L777" s="27"/>
    </row>
    <row r="778" spans="7:12" x14ac:dyDescent="0.3">
      <c r="G778" s="26"/>
      <c r="H778" s="26"/>
      <c r="I778" s="26"/>
      <c r="L778" s="27"/>
    </row>
    <row r="779" spans="7:12" x14ac:dyDescent="0.3">
      <c r="G779" s="26"/>
      <c r="H779" s="26"/>
      <c r="I779" s="26"/>
      <c r="L779" s="27"/>
    </row>
    <row r="780" spans="7:12" x14ac:dyDescent="0.3">
      <c r="G780" s="26"/>
      <c r="H780" s="26"/>
      <c r="I780" s="26"/>
      <c r="L780" s="27"/>
    </row>
    <row r="781" spans="7:12" x14ac:dyDescent="0.3">
      <c r="G781" s="26"/>
      <c r="H781" s="26"/>
      <c r="I781" s="26"/>
      <c r="L781" s="27"/>
    </row>
    <row r="782" spans="7:12" x14ac:dyDescent="0.3">
      <c r="G782" s="26"/>
      <c r="H782" s="26"/>
      <c r="I782" s="26"/>
      <c r="L782" s="27"/>
    </row>
    <row r="783" spans="7:12" x14ac:dyDescent="0.3">
      <c r="G783" s="26"/>
      <c r="H783" s="26"/>
      <c r="I783" s="26"/>
      <c r="L783" s="27"/>
    </row>
    <row r="784" spans="7:12" x14ac:dyDescent="0.3">
      <c r="G784" s="26"/>
      <c r="H784" s="26"/>
      <c r="I784" s="26"/>
      <c r="L784" s="27"/>
    </row>
    <row r="785" spans="7:12" x14ac:dyDescent="0.3">
      <c r="G785" s="26"/>
      <c r="H785" s="26"/>
      <c r="I785" s="26"/>
      <c r="L785" s="27"/>
    </row>
    <row r="786" spans="7:12" x14ac:dyDescent="0.3">
      <c r="G786" s="26"/>
      <c r="H786" s="26"/>
      <c r="I786" s="26"/>
      <c r="L786" s="27"/>
    </row>
    <row r="787" spans="7:12" x14ac:dyDescent="0.3">
      <c r="G787" s="26"/>
      <c r="H787" s="26"/>
      <c r="I787" s="26"/>
      <c r="L787" s="27"/>
    </row>
    <row r="788" spans="7:12" x14ac:dyDescent="0.3">
      <c r="G788" s="26"/>
      <c r="H788" s="26"/>
      <c r="I788" s="26"/>
      <c r="L788" s="27"/>
    </row>
    <row r="789" spans="7:12" x14ac:dyDescent="0.3">
      <c r="G789" s="26"/>
      <c r="H789" s="26"/>
      <c r="I789" s="26"/>
      <c r="L789" s="27"/>
    </row>
    <row r="790" spans="7:12" x14ac:dyDescent="0.3">
      <c r="G790" s="26"/>
      <c r="H790" s="26"/>
      <c r="I790" s="26"/>
      <c r="L790" s="27"/>
    </row>
    <row r="791" spans="7:12" x14ac:dyDescent="0.3">
      <c r="G791" s="26"/>
      <c r="H791" s="26"/>
      <c r="I791" s="26"/>
      <c r="L791" s="27"/>
    </row>
    <row r="792" spans="7:12" x14ac:dyDescent="0.3">
      <c r="G792" s="26"/>
      <c r="H792" s="26"/>
      <c r="I792" s="26"/>
      <c r="L792" s="27"/>
    </row>
    <row r="793" spans="7:12" x14ac:dyDescent="0.3">
      <c r="G793" s="26"/>
      <c r="H793" s="26"/>
      <c r="I793" s="26"/>
      <c r="L793" s="27"/>
    </row>
    <row r="794" spans="7:12" x14ac:dyDescent="0.3">
      <c r="G794" s="26"/>
      <c r="H794" s="26"/>
      <c r="I794" s="26"/>
      <c r="L794" s="27"/>
    </row>
    <row r="795" spans="7:12" x14ac:dyDescent="0.3">
      <c r="G795" s="26"/>
      <c r="H795" s="26"/>
      <c r="I795" s="26"/>
      <c r="L795" s="27"/>
    </row>
    <row r="796" spans="7:12" x14ac:dyDescent="0.3">
      <c r="G796" s="26"/>
      <c r="H796" s="26"/>
      <c r="I796" s="26"/>
      <c r="L796" s="27"/>
    </row>
    <row r="797" spans="7:12" x14ac:dyDescent="0.3">
      <c r="G797" s="26"/>
      <c r="H797" s="26"/>
      <c r="I797" s="26"/>
      <c r="L797" s="27"/>
    </row>
    <row r="798" spans="7:12" x14ac:dyDescent="0.3">
      <c r="G798" s="26"/>
      <c r="H798" s="26"/>
      <c r="I798" s="26"/>
      <c r="L798" s="27"/>
    </row>
    <row r="799" spans="7:12" x14ac:dyDescent="0.3">
      <c r="G799" s="26"/>
      <c r="H799" s="26"/>
      <c r="I799" s="26"/>
      <c r="L799" s="27"/>
    </row>
    <row r="800" spans="7:12" x14ac:dyDescent="0.3">
      <c r="G800" s="26"/>
      <c r="H800" s="26"/>
      <c r="I800" s="26"/>
      <c r="L800" s="27"/>
    </row>
    <row r="801" spans="7:12" x14ac:dyDescent="0.3">
      <c r="G801" s="26"/>
      <c r="H801" s="26"/>
      <c r="I801" s="26"/>
      <c r="L801" s="27"/>
    </row>
    <row r="802" spans="7:12" x14ac:dyDescent="0.3">
      <c r="G802" s="26"/>
      <c r="H802" s="26"/>
      <c r="I802" s="26"/>
      <c r="L802" s="27"/>
    </row>
    <row r="803" spans="7:12" x14ac:dyDescent="0.3">
      <c r="G803" s="26"/>
      <c r="H803" s="26"/>
      <c r="I803" s="26"/>
      <c r="L803" s="27"/>
    </row>
    <row r="804" spans="7:12" x14ac:dyDescent="0.3">
      <c r="G804" s="26"/>
      <c r="H804" s="26"/>
      <c r="I804" s="26"/>
      <c r="L804" s="27"/>
    </row>
    <row r="805" spans="7:12" x14ac:dyDescent="0.3">
      <c r="G805" s="26"/>
      <c r="H805" s="26"/>
      <c r="I805" s="26"/>
      <c r="L805" s="27"/>
    </row>
    <row r="806" spans="7:12" x14ac:dyDescent="0.3">
      <c r="G806" s="26"/>
      <c r="H806" s="26"/>
      <c r="I806" s="26"/>
      <c r="L806" s="27"/>
    </row>
    <row r="807" spans="7:12" x14ac:dyDescent="0.3">
      <c r="G807" s="26"/>
      <c r="H807" s="26"/>
      <c r="I807" s="26"/>
      <c r="L807" s="27"/>
    </row>
    <row r="808" spans="7:12" x14ac:dyDescent="0.3">
      <c r="G808" s="26"/>
      <c r="H808" s="26"/>
      <c r="I808" s="26"/>
      <c r="L808" s="27"/>
    </row>
    <row r="809" spans="7:12" x14ac:dyDescent="0.3">
      <c r="G809" s="26"/>
      <c r="H809" s="26"/>
      <c r="I809" s="26"/>
      <c r="L809" s="27"/>
    </row>
    <row r="810" spans="7:12" x14ac:dyDescent="0.3">
      <c r="G810" s="26"/>
      <c r="H810" s="26"/>
      <c r="I810" s="26"/>
      <c r="L810" s="27"/>
    </row>
    <row r="811" spans="7:12" x14ac:dyDescent="0.3">
      <c r="G811" s="26"/>
      <c r="H811" s="26"/>
      <c r="I811" s="26"/>
      <c r="L811" s="27"/>
    </row>
    <row r="812" spans="7:12" x14ac:dyDescent="0.3">
      <c r="G812" s="26"/>
      <c r="H812" s="26"/>
      <c r="I812" s="26"/>
      <c r="L812" s="27"/>
    </row>
    <row r="813" spans="7:12" x14ac:dyDescent="0.3">
      <c r="G813" s="26"/>
      <c r="H813" s="26"/>
      <c r="I813" s="26"/>
      <c r="L813" s="27"/>
    </row>
    <row r="814" spans="7:12" x14ac:dyDescent="0.3">
      <c r="G814" s="26"/>
      <c r="H814" s="26"/>
      <c r="I814" s="26"/>
      <c r="L814" s="27"/>
    </row>
    <row r="815" spans="7:12" x14ac:dyDescent="0.3">
      <c r="G815" s="26"/>
      <c r="H815" s="26"/>
      <c r="I815" s="26"/>
      <c r="L815" s="27"/>
    </row>
    <row r="816" spans="7:12" x14ac:dyDescent="0.3">
      <c r="G816" s="26"/>
      <c r="H816" s="26"/>
      <c r="I816" s="26"/>
      <c r="L816" s="27"/>
    </row>
    <row r="817" spans="7:12" x14ac:dyDescent="0.3">
      <c r="G817" s="26"/>
      <c r="H817" s="26"/>
      <c r="I817" s="26"/>
      <c r="L817" s="27"/>
    </row>
    <row r="818" spans="7:12" x14ac:dyDescent="0.3">
      <c r="G818" s="26"/>
      <c r="H818" s="26"/>
      <c r="I818" s="26"/>
      <c r="L818" s="27"/>
    </row>
    <row r="819" spans="7:12" x14ac:dyDescent="0.3">
      <c r="G819" s="26"/>
      <c r="H819" s="26"/>
      <c r="I819" s="26"/>
      <c r="L819" s="27"/>
    </row>
    <row r="820" spans="7:12" x14ac:dyDescent="0.3">
      <c r="G820" s="26"/>
      <c r="H820" s="26"/>
      <c r="I820" s="26"/>
      <c r="L820" s="27"/>
    </row>
    <row r="821" spans="7:12" x14ac:dyDescent="0.3">
      <c r="G821" s="26"/>
      <c r="H821" s="26"/>
      <c r="I821" s="26"/>
      <c r="L821" s="27"/>
    </row>
    <row r="822" spans="7:12" x14ac:dyDescent="0.3">
      <c r="G822" s="26"/>
      <c r="H822" s="26"/>
      <c r="I822" s="26"/>
      <c r="L822" s="27"/>
    </row>
    <row r="823" spans="7:12" x14ac:dyDescent="0.3">
      <c r="G823" s="26"/>
      <c r="H823" s="26"/>
      <c r="I823" s="26"/>
      <c r="L823" s="27"/>
    </row>
    <row r="824" spans="7:12" x14ac:dyDescent="0.3">
      <c r="G824" s="26"/>
      <c r="H824" s="26"/>
      <c r="I824" s="26"/>
      <c r="L824" s="27"/>
    </row>
    <row r="825" spans="7:12" x14ac:dyDescent="0.3">
      <c r="G825" s="26"/>
      <c r="H825" s="26"/>
      <c r="I825" s="26"/>
      <c r="L825" s="27"/>
    </row>
    <row r="826" spans="7:12" x14ac:dyDescent="0.3">
      <c r="G826" s="26"/>
      <c r="H826" s="26"/>
      <c r="I826" s="26"/>
      <c r="L826" s="27"/>
    </row>
    <row r="827" spans="7:12" x14ac:dyDescent="0.3">
      <c r="G827" s="26"/>
      <c r="H827" s="26"/>
      <c r="I827" s="26"/>
      <c r="L827" s="27"/>
    </row>
    <row r="828" spans="7:12" x14ac:dyDescent="0.3">
      <c r="G828" s="26"/>
      <c r="H828" s="26"/>
      <c r="I828" s="26"/>
      <c r="L828" s="27"/>
    </row>
    <row r="829" spans="7:12" x14ac:dyDescent="0.3">
      <c r="G829" s="26"/>
      <c r="H829" s="26"/>
      <c r="I829" s="26"/>
      <c r="L829" s="27"/>
    </row>
    <row r="830" spans="7:12" x14ac:dyDescent="0.3">
      <c r="G830" s="26"/>
      <c r="H830" s="26"/>
      <c r="I830" s="26"/>
      <c r="L830" s="27"/>
    </row>
    <row r="831" spans="7:12" x14ac:dyDescent="0.3">
      <c r="G831" s="26"/>
      <c r="H831" s="26"/>
      <c r="I831" s="26"/>
      <c r="L831" s="27"/>
    </row>
    <row r="832" spans="7:12" x14ac:dyDescent="0.3">
      <c r="G832" s="26"/>
      <c r="H832" s="26"/>
      <c r="I832" s="26"/>
      <c r="L832" s="27"/>
    </row>
    <row r="833" spans="7:12" x14ac:dyDescent="0.3">
      <c r="G833" s="26"/>
      <c r="H833" s="26"/>
      <c r="I833" s="26"/>
      <c r="L833" s="27"/>
    </row>
    <row r="834" spans="7:12" x14ac:dyDescent="0.3">
      <c r="G834" s="26"/>
      <c r="H834" s="26"/>
      <c r="I834" s="26"/>
      <c r="L834" s="27"/>
    </row>
    <row r="835" spans="7:12" x14ac:dyDescent="0.3">
      <c r="G835" s="26"/>
      <c r="H835" s="26"/>
      <c r="I835" s="26"/>
      <c r="L835" s="27"/>
    </row>
    <row r="836" spans="7:12" x14ac:dyDescent="0.3">
      <c r="G836" s="26"/>
      <c r="H836" s="26"/>
      <c r="I836" s="26"/>
      <c r="L836" s="27"/>
    </row>
    <row r="837" spans="7:12" x14ac:dyDescent="0.3">
      <c r="G837" s="26"/>
      <c r="H837" s="26"/>
      <c r="I837" s="26"/>
      <c r="L837" s="27"/>
    </row>
    <row r="838" spans="7:12" x14ac:dyDescent="0.3">
      <c r="G838" s="26"/>
      <c r="H838" s="26"/>
      <c r="I838" s="26"/>
      <c r="L838" s="27"/>
    </row>
    <row r="839" spans="7:12" x14ac:dyDescent="0.3">
      <c r="G839" s="26"/>
      <c r="H839" s="26"/>
      <c r="I839" s="26"/>
      <c r="L839" s="27"/>
    </row>
    <row r="840" spans="7:12" x14ac:dyDescent="0.3">
      <c r="G840" s="26"/>
      <c r="H840" s="26"/>
      <c r="I840" s="26"/>
      <c r="L840" s="27"/>
    </row>
    <row r="841" spans="7:12" x14ac:dyDescent="0.3">
      <c r="G841" s="26"/>
      <c r="H841" s="26"/>
      <c r="I841" s="26"/>
      <c r="L841" s="27"/>
    </row>
    <row r="842" spans="7:12" x14ac:dyDescent="0.3">
      <c r="G842" s="26"/>
      <c r="H842" s="26"/>
      <c r="I842" s="26"/>
      <c r="L842" s="27"/>
    </row>
    <row r="843" spans="7:12" x14ac:dyDescent="0.3">
      <c r="G843" s="26"/>
      <c r="H843" s="26"/>
      <c r="I843" s="26"/>
      <c r="L843" s="27"/>
    </row>
    <row r="844" spans="7:12" x14ac:dyDescent="0.3">
      <c r="G844" s="26"/>
      <c r="H844" s="26"/>
      <c r="I844" s="26"/>
      <c r="L844" s="27"/>
    </row>
    <row r="845" spans="7:12" x14ac:dyDescent="0.3">
      <c r="G845" s="26"/>
      <c r="H845" s="26"/>
      <c r="I845" s="26"/>
      <c r="L845" s="27"/>
    </row>
    <row r="846" spans="7:12" x14ac:dyDescent="0.3">
      <c r="G846" s="26"/>
      <c r="H846" s="26"/>
      <c r="I846" s="26"/>
      <c r="L846" s="27"/>
    </row>
    <row r="847" spans="7:12" x14ac:dyDescent="0.3">
      <c r="G847" s="26"/>
      <c r="H847" s="26"/>
      <c r="I847" s="26"/>
      <c r="L847" s="27"/>
    </row>
    <row r="848" spans="7:12" x14ac:dyDescent="0.3">
      <c r="G848" s="26"/>
      <c r="H848" s="26"/>
      <c r="I848" s="26"/>
      <c r="L848" s="27"/>
    </row>
    <row r="849" spans="7:12" x14ac:dyDescent="0.3">
      <c r="G849" s="26"/>
      <c r="H849" s="26"/>
      <c r="I849" s="26"/>
      <c r="L849" s="27"/>
    </row>
    <row r="850" spans="7:12" x14ac:dyDescent="0.3">
      <c r="G850" s="26"/>
      <c r="H850" s="26"/>
      <c r="I850" s="26"/>
      <c r="L850" s="27"/>
    </row>
    <row r="851" spans="7:12" x14ac:dyDescent="0.3">
      <c r="G851" s="26"/>
      <c r="H851" s="26"/>
      <c r="I851" s="26"/>
      <c r="L851" s="27"/>
    </row>
    <row r="852" spans="7:12" x14ac:dyDescent="0.3">
      <c r="G852" s="26"/>
      <c r="H852" s="26"/>
      <c r="I852" s="26"/>
      <c r="L852" s="27"/>
    </row>
    <row r="853" spans="7:12" x14ac:dyDescent="0.3">
      <c r="G853" s="26"/>
      <c r="H853" s="26"/>
      <c r="I853" s="26"/>
      <c r="L853" s="27"/>
    </row>
    <row r="854" spans="7:12" x14ac:dyDescent="0.3">
      <c r="G854" s="26"/>
      <c r="H854" s="26"/>
      <c r="I854" s="26"/>
      <c r="L854" s="27"/>
    </row>
    <row r="855" spans="7:12" x14ac:dyDescent="0.3">
      <c r="G855" s="26"/>
      <c r="H855" s="26"/>
      <c r="I855" s="26"/>
      <c r="L855" s="27"/>
    </row>
    <row r="856" spans="7:12" x14ac:dyDescent="0.3">
      <c r="G856" s="26"/>
      <c r="H856" s="26"/>
      <c r="I856" s="26"/>
      <c r="L856" s="27"/>
    </row>
    <row r="857" spans="7:12" x14ac:dyDescent="0.3">
      <c r="G857" s="26"/>
      <c r="H857" s="26"/>
      <c r="I857" s="26"/>
      <c r="L857" s="27"/>
    </row>
    <row r="858" spans="7:12" x14ac:dyDescent="0.3">
      <c r="G858" s="26"/>
      <c r="H858" s="26"/>
      <c r="I858" s="26"/>
      <c r="L858" s="27"/>
    </row>
    <row r="859" spans="7:12" x14ac:dyDescent="0.3">
      <c r="G859" s="26"/>
      <c r="H859" s="26"/>
      <c r="I859" s="26"/>
      <c r="L859" s="27"/>
    </row>
    <row r="860" spans="7:12" x14ac:dyDescent="0.3">
      <c r="G860" s="26"/>
      <c r="H860" s="26"/>
      <c r="I860" s="26"/>
      <c r="L860" s="27"/>
    </row>
    <row r="861" spans="7:12" x14ac:dyDescent="0.3">
      <c r="G861" s="26"/>
      <c r="H861" s="26"/>
      <c r="I861" s="26"/>
      <c r="L861" s="27"/>
    </row>
    <row r="862" spans="7:12" x14ac:dyDescent="0.3">
      <c r="G862" s="26"/>
      <c r="H862" s="26"/>
      <c r="I862" s="26"/>
      <c r="L862" s="27"/>
    </row>
    <row r="863" spans="7:12" x14ac:dyDescent="0.3">
      <c r="G863" s="26"/>
      <c r="H863" s="26"/>
      <c r="I863" s="26"/>
      <c r="L863" s="27"/>
    </row>
    <row r="864" spans="7:12" x14ac:dyDescent="0.3">
      <c r="G864" s="26"/>
      <c r="H864" s="26"/>
      <c r="I864" s="26"/>
      <c r="L864" s="27"/>
    </row>
    <row r="865" spans="7:12" x14ac:dyDescent="0.3">
      <c r="G865" s="26"/>
      <c r="H865" s="26"/>
      <c r="I865" s="26"/>
      <c r="L865" s="27"/>
    </row>
    <row r="866" spans="7:12" x14ac:dyDescent="0.3">
      <c r="G866" s="26"/>
      <c r="H866" s="26"/>
      <c r="I866" s="26"/>
      <c r="L866" s="27"/>
    </row>
    <row r="867" spans="7:12" x14ac:dyDescent="0.3">
      <c r="G867" s="26"/>
      <c r="H867" s="26"/>
      <c r="I867" s="26"/>
      <c r="L867" s="27"/>
    </row>
    <row r="868" spans="7:12" x14ac:dyDescent="0.3">
      <c r="G868" s="26"/>
      <c r="H868" s="26"/>
      <c r="I868" s="26"/>
      <c r="L868" s="27"/>
    </row>
    <row r="869" spans="7:12" x14ac:dyDescent="0.3">
      <c r="G869" s="26"/>
      <c r="H869" s="26"/>
      <c r="I869" s="26"/>
      <c r="L869" s="27"/>
    </row>
    <row r="870" spans="7:12" x14ac:dyDescent="0.3">
      <c r="G870" s="26"/>
      <c r="H870" s="26"/>
      <c r="I870" s="26"/>
      <c r="L870" s="27"/>
    </row>
    <row r="871" spans="7:12" x14ac:dyDescent="0.3">
      <c r="G871" s="26"/>
      <c r="H871" s="26"/>
      <c r="I871" s="26"/>
      <c r="L871" s="27"/>
    </row>
    <row r="872" spans="7:12" x14ac:dyDescent="0.3">
      <c r="G872" s="26"/>
      <c r="H872" s="26"/>
      <c r="I872" s="26"/>
      <c r="L872" s="27"/>
    </row>
    <row r="873" spans="7:12" x14ac:dyDescent="0.3">
      <c r="G873" s="26"/>
      <c r="H873" s="26"/>
      <c r="I873" s="26"/>
      <c r="L873" s="27"/>
    </row>
    <row r="874" spans="7:12" x14ac:dyDescent="0.3">
      <c r="G874" s="26"/>
      <c r="H874" s="26"/>
      <c r="I874" s="26"/>
      <c r="L874" s="27"/>
    </row>
    <row r="875" spans="7:12" x14ac:dyDescent="0.3">
      <c r="G875" s="26"/>
      <c r="H875" s="26"/>
      <c r="I875" s="26"/>
      <c r="L875" s="27"/>
    </row>
    <row r="876" spans="7:12" x14ac:dyDescent="0.3">
      <c r="G876" s="26"/>
      <c r="H876" s="26"/>
      <c r="I876" s="26"/>
      <c r="L876" s="27"/>
    </row>
    <row r="877" spans="7:12" x14ac:dyDescent="0.3">
      <c r="G877" s="26"/>
      <c r="H877" s="26"/>
      <c r="I877" s="26"/>
      <c r="L877" s="27"/>
    </row>
    <row r="878" spans="7:12" x14ac:dyDescent="0.3">
      <c r="G878" s="26"/>
      <c r="H878" s="26"/>
      <c r="I878" s="26"/>
      <c r="L878" s="27"/>
    </row>
    <row r="879" spans="7:12" x14ac:dyDescent="0.3">
      <c r="G879" s="26"/>
      <c r="H879" s="26"/>
      <c r="I879" s="26"/>
      <c r="L879" s="27"/>
    </row>
    <row r="880" spans="7:12" x14ac:dyDescent="0.3">
      <c r="G880" s="26"/>
      <c r="H880" s="26"/>
      <c r="I880" s="26"/>
      <c r="L880" s="27"/>
    </row>
    <row r="881" spans="7:12" x14ac:dyDescent="0.3">
      <c r="G881" s="26"/>
      <c r="H881" s="26"/>
      <c r="I881" s="26"/>
      <c r="L881" s="27"/>
    </row>
    <row r="882" spans="7:12" x14ac:dyDescent="0.3">
      <c r="G882" s="26"/>
      <c r="H882" s="26"/>
      <c r="I882" s="26"/>
      <c r="L882" s="27"/>
    </row>
    <row r="883" spans="7:12" x14ac:dyDescent="0.3">
      <c r="G883" s="26"/>
      <c r="H883" s="26"/>
      <c r="I883" s="26"/>
      <c r="L883" s="27"/>
    </row>
    <row r="884" spans="7:12" x14ac:dyDescent="0.3">
      <c r="G884" s="26"/>
      <c r="H884" s="26"/>
      <c r="I884" s="26"/>
      <c r="L884" s="27"/>
    </row>
    <row r="885" spans="7:12" x14ac:dyDescent="0.3">
      <c r="G885" s="26"/>
      <c r="H885" s="26"/>
      <c r="I885" s="26"/>
      <c r="L885" s="27"/>
    </row>
    <row r="886" spans="7:12" x14ac:dyDescent="0.3">
      <c r="G886" s="26"/>
      <c r="H886" s="26"/>
      <c r="I886" s="26"/>
      <c r="L886" s="27"/>
    </row>
    <row r="887" spans="7:12" x14ac:dyDescent="0.3">
      <c r="G887" s="26"/>
      <c r="H887" s="26"/>
      <c r="I887" s="26"/>
      <c r="L887" s="27"/>
    </row>
    <row r="888" spans="7:12" x14ac:dyDescent="0.3">
      <c r="G888" s="26"/>
      <c r="H888" s="26"/>
      <c r="I888" s="26"/>
      <c r="L888" s="27"/>
    </row>
    <row r="889" spans="7:12" x14ac:dyDescent="0.3">
      <c r="G889" s="26"/>
      <c r="H889" s="26"/>
      <c r="I889" s="26"/>
      <c r="L889" s="27"/>
    </row>
    <row r="890" spans="7:12" x14ac:dyDescent="0.3">
      <c r="G890" s="26"/>
      <c r="H890" s="26"/>
      <c r="I890" s="26"/>
      <c r="L890" s="27"/>
    </row>
    <row r="891" spans="7:12" x14ac:dyDescent="0.3">
      <c r="G891" s="26"/>
      <c r="H891" s="26"/>
      <c r="I891" s="26"/>
      <c r="L891" s="27"/>
    </row>
    <row r="892" spans="7:12" x14ac:dyDescent="0.3">
      <c r="G892" s="26"/>
      <c r="H892" s="26"/>
      <c r="I892" s="26"/>
      <c r="L892" s="27"/>
    </row>
    <row r="893" spans="7:12" x14ac:dyDescent="0.3">
      <c r="G893" s="26"/>
      <c r="H893" s="26"/>
      <c r="I893" s="26"/>
      <c r="L893" s="27"/>
    </row>
    <row r="894" spans="7:12" x14ac:dyDescent="0.3">
      <c r="G894" s="26"/>
      <c r="H894" s="26"/>
      <c r="I894" s="26"/>
      <c r="L894" s="27"/>
    </row>
    <row r="895" spans="7:12" x14ac:dyDescent="0.3">
      <c r="G895" s="26"/>
      <c r="H895" s="26"/>
      <c r="I895" s="26"/>
      <c r="L895" s="27"/>
    </row>
    <row r="896" spans="7:12" x14ac:dyDescent="0.3">
      <c r="G896" s="26"/>
      <c r="H896" s="26"/>
      <c r="I896" s="26"/>
      <c r="L896" s="27"/>
    </row>
    <row r="897" spans="7:12" x14ac:dyDescent="0.3">
      <c r="G897" s="26"/>
      <c r="H897" s="26"/>
      <c r="I897" s="26"/>
      <c r="L897" s="27"/>
    </row>
    <row r="898" spans="7:12" x14ac:dyDescent="0.3">
      <c r="G898" s="26"/>
      <c r="H898" s="26"/>
      <c r="I898" s="26"/>
      <c r="L898" s="27"/>
    </row>
    <row r="899" spans="7:12" x14ac:dyDescent="0.3">
      <c r="G899" s="26"/>
      <c r="H899" s="26"/>
      <c r="I899" s="26"/>
      <c r="L899" s="27"/>
    </row>
    <row r="900" spans="7:12" x14ac:dyDescent="0.3">
      <c r="G900" s="26"/>
      <c r="H900" s="26"/>
      <c r="I900" s="26"/>
      <c r="L900" s="27"/>
    </row>
    <row r="901" spans="7:12" x14ac:dyDescent="0.3">
      <c r="G901" s="26"/>
      <c r="H901" s="26"/>
      <c r="I901" s="26"/>
      <c r="L901" s="27"/>
    </row>
    <row r="902" spans="7:12" x14ac:dyDescent="0.3">
      <c r="G902" s="26"/>
      <c r="H902" s="26"/>
      <c r="I902" s="26"/>
      <c r="L902" s="27"/>
    </row>
    <row r="903" spans="7:12" x14ac:dyDescent="0.3">
      <c r="G903" s="26"/>
      <c r="H903" s="26"/>
      <c r="I903" s="26"/>
      <c r="L903" s="27"/>
    </row>
    <row r="904" spans="7:12" x14ac:dyDescent="0.3">
      <c r="G904" s="26"/>
      <c r="H904" s="26"/>
      <c r="I904" s="26"/>
      <c r="L904" s="27"/>
    </row>
    <row r="905" spans="7:12" x14ac:dyDescent="0.3">
      <c r="G905" s="26"/>
      <c r="H905" s="26"/>
      <c r="I905" s="26"/>
      <c r="L905" s="27"/>
    </row>
    <row r="906" spans="7:12" x14ac:dyDescent="0.3">
      <c r="G906" s="26"/>
      <c r="H906" s="26"/>
      <c r="I906" s="26"/>
      <c r="L906" s="27"/>
    </row>
    <row r="907" spans="7:12" x14ac:dyDescent="0.3">
      <c r="G907" s="26"/>
      <c r="H907" s="26"/>
      <c r="I907" s="26"/>
      <c r="L907" s="27"/>
    </row>
    <row r="908" spans="7:12" x14ac:dyDescent="0.3">
      <c r="G908" s="26"/>
      <c r="H908" s="26"/>
      <c r="I908" s="26"/>
      <c r="L908" s="27"/>
    </row>
    <row r="909" spans="7:12" x14ac:dyDescent="0.3">
      <c r="G909" s="26"/>
      <c r="H909" s="26"/>
      <c r="I909" s="26"/>
      <c r="L909" s="27"/>
    </row>
    <row r="910" spans="7:12" x14ac:dyDescent="0.3">
      <c r="G910" s="26"/>
      <c r="H910" s="26"/>
      <c r="I910" s="26"/>
      <c r="L910" s="27"/>
    </row>
    <row r="911" spans="7:12" x14ac:dyDescent="0.3">
      <c r="G911" s="26"/>
      <c r="H911" s="26"/>
      <c r="I911" s="26"/>
      <c r="L911" s="27"/>
    </row>
    <row r="912" spans="7:12" x14ac:dyDescent="0.3">
      <c r="G912" s="26"/>
      <c r="H912" s="26"/>
      <c r="I912" s="26"/>
      <c r="L912" s="27"/>
    </row>
    <row r="913" spans="7:12" x14ac:dyDescent="0.3">
      <c r="G913" s="26"/>
      <c r="H913" s="26"/>
      <c r="I913" s="26"/>
      <c r="L913" s="27"/>
    </row>
    <row r="914" spans="7:12" x14ac:dyDescent="0.3">
      <c r="G914" s="26"/>
      <c r="H914" s="26"/>
      <c r="I914" s="26"/>
      <c r="L914" s="27"/>
    </row>
    <row r="915" spans="7:12" x14ac:dyDescent="0.3">
      <c r="G915" s="26"/>
      <c r="H915" s="26"/>
      <c r="I915" s="26"/>
      <c r="L915" s="27"/>
    </row>
    <row r="916" spans="7:12" x14ac:dyDescent="0.3">
      <c r="G916" s="26"/>
      <c r="H916" s="26"/>
      <c r="I916" s="26"/>
      <c r="L916" s="27"/>
    </row>
    <row r="917" spans="7:12" x14ac:dyDescent="0.3">
      <c r="G917" s="26"/>
      <c r="H917" s="26"/>
      <c r="I917" s="26"/>
      <c r="L917" s="27"/>
    </row>
    <row r="918" spans="7:12" x14ac:dyDescent="0.3">
      <c r="G918" s="26"/>
      <c r="H918" s="26"/>
      <c r="I918" s="26"/>
      <c r="L918" s="27"/>
    </row>
    <row r="919" spans="7:12" x14ac:dyDescent="0.3">
      <c r="G919" s="26"/>
      <c r="H919" s="26"/>
      <c r="I919" s="26"/>
      <c r="L919" s="27"/>
    </row>
    <row r="920" spans="7:12" x14ac:dyDescent="0.3">
      <c r="G920" s="26"/>
      <c r="H920" s="26"/>
      <c r="I920" s="26"/>
      <c r="L920" s="27"/>
    </row>
    <row r="921" spans="7:12" x14ac:dyDescent="0.3">
      <c r="G921" s="26"/>
      <c r="H921" s="26"/>
      <c r="I921" s="26"/>
      <c r="L921" s="27"/>
    </row>
    <row r="922" spans="7:12" x14ac:dyDescent="0.3">
      <c r="G922" s="26"/>
      <c r="H922" s="26"/>
      <c r="I922" s="26"/>
      <c r="L922" s="27"/>
    </row>
    <row r="923" spans="7:12" x14ac:dyDescent="0.3">
      <c r="G923" s="26"/>
      <c r="H923" s="26"/>
      <c r="I923" s="26"/>
      <c r="L923" s="27"/>
    </row>
    <row r="924" spans="7:12" x14ac:dyDescent="0.3">
      <c r="G924" s="26"/>
      <c r="H924" s="26"/>
      <c r="I924" s="26"/>
      <c r="L924" s="27"/>
    </row>
    <row r="925" spans="7:12" x14ac:dyDescent="0.3">
      <c r="G925" s="26"/>
      <c r="H925" s="26"/>
      <c r="I925" s="26"/>
      <c r="L925" s="27"/>
    </row>
    <row r="926" spans="7:12" x14ac:dyDescent="0.3">
      <c r="G926" s="26"/>
      <c r="H926" s="26"/>
      <c r="I926" s="26"/>
      <c r="L926" s="27"/>
    </row>
    <row r="927" spans="7:12" x14ac:dyDescent="0.3">
      <c r="G927" s="26"/>
      <c r="H927" s="26"/>
      <c r="I927" s="26"/>
      <c r="L927" s="27"/>
    </row>
    <row r="928" spans="7:12" x14ac:dyDescent="0.3">
      <c r="G928" s="26"/>
      <c r="H928" s="26"/>
      <c r="I928" s="26"/>
      <c r="L928" s="27"/>
    </row>
    <row r="929" spans="7:12" x14ac:dyDescent="0.3">
      <c r="G929" s="26"/>
      <c r="H929" s="26"/>
      <c r="I929" s="26"/>
      <c r="L929" s="27"/>
    </row>
    <row r="930" spans="7:12" x14ac:dyDescent="0.3">
      <c r="G930" s="26"/>
      <c r="H930" s="26"/>
      <c r="I930" s="26"/>
      <c r="L930" s="27"/>
    </row>
    <row r="931" spans="7:12" x14ac:dyDescent="0.3">
      <c r="G931" s="26"/>
      <c r="H931" s="26"/>
      <c r="I931" s="26"/>
      <c r="L931" s="27"/>
    </row>
    <row r="932" spans="7:12" x14ac:dyDescent="0.3">
      <c r="G932" s="26"/>
      <c r="H932" s="26"/>
      <c r="I932" s="26"/>
      <c r="L932" s="27"/>
    </row>
    <row r="933" spans="7:12" x14ac:dyDescent="0.3">
      <c r="G933" s="26"/>
      <c r="H933" s="26"/>
      <c r="I933" s="26"/>
      <c r="L933" s="27"/>
    </row>
    <row r="934" spans="7:12" x14ac:dyDescent="0.3">
      <c r="G934" s="26"/>
      <c r="H934" s="26"/>
      <c r="I934" s="26"/>
      <c r="L934" s="27"/>
    </row>
    <row r="935" spans="7:12" x14ac:dyDescent="0.3">
      <c r="G935" s="26"/>
      <c r="H935" s="26"/>
      <c r="I935" s="26"/>
      <c r="L935" s="27"/>
    </row>
    <row r="936" spans="7:12" x14ac:dyDescent="0.3">
      <c r="G936" s="26"/>
      <c r="H936" s="26"/>
      <c r="I936" s="26"/>
      <c r="L936" s="27"/>
    </row>
    <row r="937" spans="7:12" x14ac:dyDescent="0.3">
      <c r="G937" s="26"/>
      <c r="H937" s="26"/>
      <c r="I937" s="26"/>
      <c r="L937" s="27"/>
    </row>
    <row r="938" spans="7:12" x14ac:dyDescent="0.3">
      <c r="G938" s="26"/>
      <c r="H938" s="26"/>
      <c r="I938" s="26"/>
      <c r="L938" s="27"/>
    </row>
    <row r="939" spans="7:12" x14ac:dyDescent="0.3">
      <c r="G939" s="26"/>
      <c r="H939" s="26"/>
      <c r="I939" s="26"/>
      <c r="L939" s="27"/>
    </row>
    <row r="940" spans="7:12" x14ac:dyDescent="0.3">
      <c r="G940" s="26"/>
      <c r="H940" s="26"/>
      <c r="I940" s="26"/>
      <c r="L940" s="27"/>
    </row>
    <row r="941" spans="7:12" x14ac:dyDescent="0.3">
      <c r="G941" s="26"/>
      <c r="H941" s="26"/>
      <c r="I941" s="26"/>
      <c r="L941" s="27"/>
    </row>
    <row r="942" spans="7:12" x14ac:dyDescent="0.3">
      <c r="G942" s="26"/>
      <c r="H942" s="26"/>
      <c r="I942" s="26"/>
      <c r="L942" s="27"/>
    </row>
    <row r="943" spans="7:12" x14ac:dyDescent="0.3">
      <c r="G943" s="26"/>
      <c r="H943" s="26"/>
      <c r="I943" s="26"/>
      <c r="L943" s="27"/>
    </row>
    <row r="944" spans="7:12" x14ac:dyDescent="0.3">
      <c r="G944" s="26"/>
      <c r="H944" s="26"/>
      <c r="I944" s="26"/>
      <c r="L944" s="27"/>
    </row>
    <row r="945" spans="7:12" x14ac:dyDescent="0.3">
      <c r="G945" s="26"/>
      <c r="H945" s="26"/>
      <c r="I945" s="26"/>
      <c r="L945" s="27"/>
    </row>
    <row r="946" spans="7:12" x14ac:dyDescent="0.3">
      <c r="G946" s="26"/>
      <c r="H946" s="26"/>
      <c r="I946" s="26"/>
      <c r="L946" s="27"/>
    </row>
    <row r="947" spans="7:12" x14ac:dyDescent="0.3">
      <c r="G947" s="26"/>
      <c r="H947" s="26"/>
      <c r="I947" s="26"/>
      <c r="L947" s="27"/>
    </row>
    <row r="948" spans="7:12" x14ac:dyDescent="0.3">
      <c r="G948" s="26"/>
      <c r="H948" s="26"/>
      <c r="I948" s="26"/>
      <c r="L948" s="27"/>
    </row>
    <row r="949" spans="7:12" x14ac:dyDescent="0.3">
      <c r="G949" s="26"/>
      <c r="H949" s="26"/>
      <c r="I949" s="26"/>
      <c r="L949" s="27"/>
    </row>
    <row r="950" spans="7:12" x14ac:dyDescent="0.3">
      <c r="G950" s="26"/>
      <c r="H950" s="26"/>
      <c r="I950" s="26"/>
      <c r="L950" s="27"/>
    </row>
    <row r="951" spans="7:12" x14ac:dyDescent="0.3">
      <c r="G951" s="26"/>
      <c r="H951" s="26"/>
      <c r="I951" s="26"/>
      <c r="L951" s="27"/>
    </row>
    <row r="952" spans="7:12" x14ac:dyDescent="0.3">
      <c r="G952" s="26"/>
      <c r="H952" s="26"/>
      <c r="I952" s="26"/>
      <c r="L952" s="27"/>
    </row>
    <row r="953" spans="7:12" x14ac:dyDescent="0.3">
      <c r="G953" s="26"/>
      <c r="H953" s="26"/>
      <c r="I953" s="26"/>
      <c r="L953" s="27"/>
    </row>
    <row r="954" spans="7:12" x14ac:dyDescent="0.3">
      <c r="G954" s="26"/>
      <c r="H954" s="26"/>
      <c r="I954" s="26"/>
      <c r="L954" s="27"/>
    </row>
    <row r="955" spans="7:12" x14ac:dyDescent="0.3">
      <c r="G955" s="26"/>
      <c r="H955" s="26"/>
      <c r="I955" s="26"/>
      <c r="L955" s="27"/>
    </row>
    <row r="956" spans="7:12" x14ac:dyDescent="0.3">
      <c r="G956" s="26"/>
      <c r="H956" s="26"/>
      <c r="I956" s="26"/>
      <c r="L956" s="27"/>
    </row>
    <row r="957" spans="7:12" x14ac:dyDescent="0.3">
      <c r="G957" s="26"/>
      <c r="H957" s="26"/>
      <c r="I957" s="26"/>
      <c r="L957" s="27"/>
    </row>
    <row r="958" spans="7:12" x14ac:dyDescent="0.3">
      <c r="G958" s="26"/>
      <c r="H958" s="26"/>
      <c r="I958" s="26"/>
      <c r="L958" s="27"/>
    </row>
    <row r="959" spans="7:12" x14ac:dyDescent="0.3">
      <c r="G959" s="26"/>
      <c r="H959" s="26"/>
      <c r="I959" s="26"/>
      <c r="L959" s="27"/>
    </row>
    <row r="960" spans="7:12" x14ac:dyDescent="0.3">
      <c r="G960" s="26"/>
      <c r="H960" s="26"/>
      <c r="I960" s="26"/>
      <c r="L960" s="27"/>
    </row>
    <row r="961" spans="7:12" x14ac:dyDescent="0.3">
      <c r="G961" s="26"/>
      <c r="H961" s="26"/>
      <c r="I961" s="26"/>
      <c r="L961" s="27"/>
    </row>
    <row r="962" spans="7:12" x14ac:dyDescent="0.3">
      <c r="G962" s="26"/>
      <c r="H962" s="26"/>
      <c r="I962" s="26"/>
      <c r="L962" s="27"/>
    </row>
    <row r="963" spans="7:12" x14ac:dyDescent="0.3">
      <c r="G963" s="26"/>
      <c r="H963" s="26"/>
      <c r="I963" s="26"/>
      <c r="L963" s="27"/>
    </row>
    <row r="964" spans="7:12" x14ac:dyDescent="0.3">
      <c r="G964" s="26"/>
      <c r="H964" s="26"/>
      <c r="I964" s="26"/>
      <c r="L964" s="27"/>
    </row>
    <row r="965" spans="7:12" x14ac:dyDescent="0.3">
      <c r="G965" s="26"/>
      <c r="H965" s="26"/>
      <c r="I965" s="26"/>
      <c r="L965" s="27"/>
    </row>
    <row r="966" spans="7:12" x14ac:dyDescent="0.3">
      <c r="G966" s="26"/>
      <c r="H966" s="26"/>
      <c r="I966" s="26"/>
      <c r="L966" s="27"/>
    </row>
    <row r="967" spans="7:12" x14ac:dyDescent="0.3">
      <c r="G967" s="26"/>
      <c r="H967" s="26"/>
      <c r="I967" s="26"/>
      <c r="L967" s="27"/>
    </row>
    <row r="968" spans="7:12" x14ac:dyDescent="0.3">
      <c r="G968" s="26"/>
      <c r="H968" s="26"/>
      <c r="I968" s="26"/>
      <c r="L968" s="27"/>
    </row>
    <row r="969" spans="7:12" x14ac:dyDescent="0.3">
      <c r="G969" s="26"/>
      <c r="H969" s="26"/>
      <c r="I969" s="26"/>
      <c r="L969" s="27"/>
    </row>
    <row r="970" spans="7:12" x14ac:dyDescent="0.3">
      <c r="G970" s="26"/>
      <c r="H970" s="26"/>
      <c r="I970" s="26"/>
      <c r="L970" s="27"/>
    </row>
    <row r="971" spans="7:12" x14ac:dyDescent="0.3">
      <c r="G971" s="26"/>
      <c r="H971" s="26"/>
      <c r="I971" s="26"/>
      <c r="L971" s="27"/>
    </row>
    <row r="972" spans="7:12" x14ac:dyDescent="0.3">
      <c r="G972" s="26"/>
      <c r="H972" s="26"/>
      <c r="I972" s="26"/>
      <c r="L972" s="27"/>
    </row>
    <row r="973" spans="7:12" x14ac:dyDescent="0.3">
      <c r="G973" s="26"/>
      <c r="H973" s="26"/>
      <c r="I973" s="26"/>
      <c r="L973" s="27"/>
    </row>
    <row r="974" spans="7:12" x14ac:dyDescent="0.3">
      <c r="G974" s="26"/>
      <c r="H974" s="26"/>
      <c r="I974" s="26"/>
      <c r="L974" s="27"/>
    </row>
    <row r="975" spans="7:12" x14ac:dyDescent="0.3">
      <c r="G975" s="26"/>
      <c r="H975" s="26"/>
      <c r="I975" s="26"/>
      <c r="L975" s="27"/>
    </row>
    <row r="976" spans="7:12" x14ac:dyDescent="0.3">
      <c r="G976" s="26"/>
      <c r="H976" s="26"/>
      <c r="I976" s="26"/>
      <c r="L976" s="27"/>
    </row>
    <row r="977" spans="7:12" x14ac:dyDescent="0.3">
      <c r="G977" s="26"/>
      <c r="H977" s="26"/>
      <c r="I977" s="26"/>
      <c r="L977" s="27"/>
    </row>
    <row r="978" spans="7:12" x14ac:dyDescent="0.3">
      <c r="G978" s="26"/>
      <c r="H978" s="26"/>
      <c r="I978" s="26"/>
      <c r="L978" s="27"/>
    </row>
    <row r="979" spans="7:12" x14ac:dyDescent="0.3">
      <c r="G979" s="26"/>
      <c r="H979" s="26"/>
      <c r="I979" s="26"/>
      <c r="L979" s="27"/>
    </row>
    <row r="980" spans="7:12" x14ac:dyDescent="0.3">
      <c r="G980" s="26"/>
      <c r="H980" s="26"/>
      <c r="I980" s="26"/>
      <c r="L980" s="27"/>
    </row>
    <row r="981" spans="7:12" x14ac:dyDescent="0.3">
      <c r="G981" s="26"/>
      <c r="H981" s="26"/>
      <c r="I981" s="26"/>
      <c r="L981" s="27"/>
    </row>
    <row r="982" spans="7:12" x14ac:dyDescent="0.3">
      <c r="G982" s="26"/>
      <c r="H982" s="26"/>
      <c r="I982" s="26"/>
      <c r="L982" s="27"/>
    </row>
    <row r="983" spans="7:12" x14ac:dyDescent="0.3">
      <c r="G983" s="26"/>
      <c r="H983" s="26"/>
      <c r="I983" s="26"/>
      <c r="L983" s="27"/>
    </row>
    <row r="984" spans="7:12" x14ac:dyDescent="0.3">
      <c r="G984" s="26"/>
      <c r="H984" s="26"/>
      <c r="I984" s="26"/>
      <c r="L984" s="27"/>
    </row>
    <row r="985" spans="7:12" x14ac:dyDescent="0.3">
      <c r="G985" s="26"/>
      <c r="H985" s="26"/>
      <c r="I985" s="26"/>
      <c r="L985" s="27"/>
    </row>
    <row r="986" spans="7:12" x14ac:dyDescent="0.3">
      <c r="G986" s="26"/>
      <c r="H986" s="26"/>
      <c r="I986" s="26"/>
      <c r="L986" s="27"/>
    </row>
    <row r="987" spans="7:12" x14ac:dyDescent="0.3">
      <c r="G987" s="26"/>
      <c r="H987" s="26"/>
      <c r="I987" s="26"/>
      <c r="L987" s="27"/>
    </row>
    <row r="988" spans="7:12" x14ac:dyDescent="0.3">
      <c r="G988" s="26"/>
      <c r="H988" s="26"/>
      <c r="I988" s="26"/>
      <c r="L988" s="27"/>
    </row>
    <row r="989" spans="7:12" x14ac:dyDescent="0.3">
      <c r="G989" s="26"/>
      <c r="H989" s="26"/>
      <c r="I989" s="26"/>
      <c r="L989" s="27"/>
    </row>
    <row r="990" spans="7:12" x14ac:dyDescent="0.3">
      <c r="G990" s="26"/>
      <c r="H990" s="26"/>
      <c r="I990" s="26"/>
      <c r="L990" s="27"/>
    </row>
    <row r="991" spans="7:12" x14ac:dyDescent="0.3">
      <c r="G991" s="26"/>
      <c r="H991" s="26"/>
      <c r="I991" s="26"/>
      <c r="L991" s="27"/>
    </row>
    <row r="992" spans="7:12" x14ac:dyDescent="0.3">
      <c r="G992" s="26"/>
      <c r="H992" s="26"/>
      <c r="I992" s="26"/>
      <c r="L992" s="27"/>
    </row>
    <row r="993" spans="7:12" x14ac:dyDescent="0.3">
      <c r="G993" s="26"/>
      <c r="H993" s="26"/>
      <c r="I993" s="26"/>
      <c r="L993" s="27"/>
    </row>
    <row r="994" spans="7:12" x14ac:dyDescent="0.3">
      <c r="G994" s="26"/>
      <c r="H994" s="26"/>
      <c r="I994" s="26"/>
      <c r="L994" s="27"/>
    </row>
    <row r="995" spans="7:12" x14ac:dyDescent="0.3">
      <c r="G995" s="26"/>
      <c r="H995" s="26"/>
      <c r="I995" s="26"/>
      <c r="L995" s="27"/>
    </row>
    <row r="996" spans="7:12" x14ac:dyDescent="0.3">
      <c r="G996" s="26"/>
      <c r="H996" s="26"/>
      <c r="I996" s="26"/>
      <c r="L996" s="27"/>
    </row>
    <row r="997" spans="7:12" x14ac:dyDescent="0.3">
      <c r="G997" s="26"/>
      <c r="H997" s="26"/>
      <c r="I997" s="26"/>
      <c r="L997" s="27"/>
    </row>
    <row r="998" spans="7:12" x14ac:dyDescent="0.3">
      <c r="G998" s="26"/>
      <c r="H998" s="26"/>
      <c r="I998" s="26"/>
      <c r="L998" s="27"/>
    </row>
    <row r="999" spans="7:12" x14ac:dyDescent="0.3">
      <c r="G999" s="26"/>
      <c r="H999" s="26"/>
      <c r="I999" s="26"/>
      <c r="L999" s="27"/>
    </row>
  </sheetData>
  <dataValidations count="1">
    <dataValidation type="list" allowBlank="1" showInputMessage="1" showErrorMessage="1" errorTitle="Invalid status" error="Use one of: Booked, Cutting, Stitching, Trial Pending, Alteration, Ready, Delivered, Cancelled." promptTitle="Status" prompt="Choose the current status. Delivered and Cancelled are treated as closed." sqref="K2:K5000" xr:uid="{28DDE20D-0056-4297-9FB1-AAB659B9B091}">
      <formula1>HameesStatusList</formula1>
    </dataValidation>
  </dataValidations>
  <pageMargins left="0.7" right="0.7" top="0.75" bottom="0.75" header="0.511811023622047" footer="0.511811023622047"/>
  <pageSetup paperSize="9" orientation="portrait" horizontalDpi="300" verticalDpi="300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1000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8.6640625" defaultRowHeight="14.4" x14ac:dyDescent="0.3"/>
  <cols>
    <col min="1" max="1" width="15.109375" customWidth="1"/>
    <col min="2" max="2" width="20.5546875" customWidth="1"/>
    <col min="3" max="3" width="9.6640625" customWidth="1"/>
    <col min="4" max="4" width="12.5546875" customWidth="1"/>
    <col min="5" max="5" width="19.33203125" customWidth="1"/>
    <col min="6" max="6" width="12.77734375" customWidth="1"/>
    <col min="7" max="7" width="11" customWidth="1"/>
    <col min="8" max="8" width="13.88671875" customWidth="1"/>
    <col min="9" max="9" width="18.6640625" customWidth="1"/>
    <col min="10" max="10" width="6.88671875" hidden="1" customWidth="1"/>
    <col min="11" max="11" width="7.88671875" hidden="1" customWidth="1"/>
    <col min="12" max="12" width="8.109375" customWidth="1"/>
    <col min="13" max="13" width="116.33203125" customWidth="1"/>
  </cols>
  <sheetData>
    <row r="1" spans="1:13" x14ac:dyDescent="0.3">
      <c r="A1" s="22" t="s">
        <v>9</v>
      </c>
      <c r="B1" s="22" t="s">
        <v>12</v>
      </c>
      <c r="C1" s="22" t="s">
        <v>13</v>
      </c>
      <c r="D1" s="22" t="s">
        <v>14</v>
      </c>
      <c r="E1" s="22" t="s">
        <v>15</v>
      </c>
      <c r="F1" s="22" t="s">
        <v>16</v>
      </c>
      <c r="G1" s="22" t="s">
        <v>17</v>
      </c>
      <c r="H1" s="24" t="s">
        <v>18</v>
      </c>
      <c r="I1" s="24" t="s">
        <v>19</v>
      </c>
      <c r="J1" s="25" t="s">
        <v>73</v>
      </c>
      <c r="K1" s="25" t="s">
        <v>74</v>
      </c>
      <c r="L1" s="22" t="s">
        <v>20</v>
      </c>
      <c r="M1" s="22" t="s">
        <v>21</v>
      </c>
    </row>
    <row r="2" spans="1:13" x14ac:dyDescent="0.3">
      <c r="A2" t="s">
        <v>117</v>
      </c>
      <c r="B2" t="s">
        <v>123</v>
      </c>
      <c r="C2" t="s">
        <v>124</v>
      </c>
      <c r="D2">
        <v>2</v>
      </c>
      <c r="E2" t="s">
        <v>125</v>
      </c>
      <c r="F2" t="s">
        <v>47</v>
      </c>
      <c r="G2" s="49" t="s">
        <v>28</v>
      </c>
      <c r="H2" s="50">
        <v>46181</v>
      </c>
      <c r="I2" s="50">
        <v>46185</v>
      </c>
      <c r="J2" s="26">
        <v>8500</v>
      </c>
      <c r="K2" s="26">
        <v>17000</v>
      </c>
      <c r="L2" t="s">
        <v>29</v>
      </c>
      <c r="M2" s="27" t="s">
        <v>126</v>
      </c>
    </row>
    <row r="3" spans="1:13" x14ac:dyDescent="0.3">
      <c r="A3" t="s">
        <v>117</v>
      </c>
      <c r="B3" t="s">
        <v>127</v>
      </c>
      <c r="C3" t="s">
        <v>32</v>
      </c>
      <c r="D3">
        <v>1</v>
      </c>
      <c r="E3" t="s">
        <v>33</v>
      </c>
      <c r="F3" t="s">
        <v>47</v>
      </c>
      <c r="G3" s="49" t="s">
        <v>28</v>
      </c>
      <c r="H3" s="50">
        <v>46181</v>
      </c>
      <c r="I3" s="50">
        <v>46187</v>
      </c>
      <c r="J3" s="26">
        <v>6500</v>
      </c>
      <c r="K3" s="26">
        <v>6500</v>
      </c>
      <c r="L3" t="s">
        <v>29</v>
      </c>
      <c r="M3" s="27" t="s">
        <v>126</v>
      </c>
    </row>
    <row r="4" spans="1:13" x14ac:dyDescent="0.3">
      <c r="A4" t="s">
        <v>22</v>
      </c>
      <c r="B4" t="s">
        <v>24</v>
      </c>
      <c r="C4" t="s">
        <v>25</v>
      </c>
      <c r="D4">
        <v>1</v>
      </c>
      <c r="E4" t="s">
        <v>26</v>
      </c>
      <c r="F4" t="s">
        <v>27</v>
      </c>
      <c r="G4" s="49" t="s">
        <v>52</v>
      </c>
      <c r="H4" s="50">
        <v>46171</v>
      </c>
      <c r="I4" s="50">
        <v>46172</v>
      </c>
      <c r="J4" s="26">
        <v>6500</v>
      </c>
      <c r="K4" s="26">
        <v>6500</v>
      </c>
      <c r="L4" t="s">
        <v>29</v>
      </c>
      <c r="M4" s="27" t="s">
        <v>21</v>
      </c>
    </row>
    <row r="5" spans="1:13" x14ac:dyDescent="0.3">
      <c r="A5" t="s">
        <v>30</v>
      </c>
      <c r="B5" t="s">
        <v>31</v>
      </c>
      <c r="C5" t="s">
        <v>32</v>
      </c>
      <c r="D5">
        <v>1</v>
      </c>
      <c r="E5" t="s">
        <v>33</v>
      </c>
      <c r="F5" t="s">
        <v>27</v>
      </c>
      <c r="G5" s="49" t="s">
        <v>52</v>
      </c>
      <c r="H5" s="50">
        <v>46171</v>
      </c>
      <c r="I5" s="50">
        <v>46172</v>
      </c>
      <c r="J5" s="26">
        <v>4500</v>
      </c>
      <c r="K5" s="26">
        <v>4500</v>
      </c>
      <c r="L5" t="s">
        <v>34</v>
      </c>
      <c r="M5" s="27" t="s">
        <v>35</v>
      </c>
    </row>
    <row r="6" spans="1:13" x14ac:dyDescent="0.3">
      <c r="A6" t="s">
        <v>36</v>
      </c>
      <c r="B6" t="s">
        <v>38</v>
      </c>
      <c r="C6" t="s">
        <v>32</v>
      </c>
      <c r="D6">
        <v>1</v>
      </c>
      <c r="E6" t="s">
        <v>26</v>
      </c>
      <c r="F6" t="s">
        <v>39</v>
      </c>
      <c r="G6" s="49" t="s">
        <v>51</v>
      </c>
      <c r="H6" s="50">
        <v>46172</v>
      </c>
      <c r="I6" s="50">
        <v>46175</v>
      </c>
      <c r="J6" s="26">
        <v>0</v>
      </c>
      <c r="K6" s="26">
        <v>0</v>
      </c>
      <c r="L6" t="s">
        <v>29</v>
      </c>
      <c r="M6" s="27" t="s">
        <v>41</v>
      </c>
    </row>
    <row r="7" spans="1:13" x14ac:dyDescent="0.3">
      <c r="A7" t="s">
        <v>187</v>
      </c>
      <c r="B7" t="s">
        <v>188</v>
      </c>
      <c r="C7" t="s">
        <v>143</v>
      </c>
      <c r="D7">
        <v>2</v>
      </c>
      <c r="E7" t="s">
        <v>125</v>
      </c>
      <c r="F7" t="s">
        <v>39</v>
      </c>
      <c r="G7" t="s">
        <v>40</v>
      </c>
      <c r="H7" s="50">
        <v>46175</v>
      </c>
      <c r="I7" s="50">
        <v>46181</v>
      </c>
      <c r="J7" s="26">
        <v>0</v>
      </c>
      <c r="K7" s="26">
        <v>0</v>
      </c>
      <c r="L7" t="s">
        <v>29</v>
      </c>
      <c r="M7" s="27" t="s">
        <v>186</v>
      </c>
    </row>
    <row r="8" spans="1:13" x14ac:dyDescent="0.3">
      <c r="H8" s="50"/>
      <c r="I8" s="50"/>
      <c r="J8" s="26"/>
      <c r="K8" s="26"/>
      <c r="M8" s="27"/>
    </row>
    <row r="9" spans="1:13" x14ac:dyDescent="0.3">
      <c r="H9" s="50"/>
      <c r="I9" s="50"/>
      <c r="J9" s="26"/>
      <c r="K9" s="26"/>
      <c r="M9" s="27"/>
    </row>
    <row r="10" spans="1:13" x14ac:dyDescent="0.3">
      <c r="H10" s="50"/>
      <c r="I10" s="50"/>
      <c r="J10" s="26"/>
      <c r="K10" s="26"/>
      <c r="M10" s="27"/>
    </row>
    <row r="11" spans="1:13" x14ac:dyDescent="0.3">
      <c r="H11" s="50"/>
      <c r="I11" s="50"/>
      <c r="J11" s="26"/>
      <c r="K11" s="26"/>
      <c r="M11" s="27"/>
    </row>
    <row r="12" spans="1:13" x14ac:dyDescent="0.3">
      <c r="H12" s="50"/>
      <c r="I12" s="50"/>
      <c r="J12" s="26"/>
      <c r="K12" s="26"/>
      <c r="M12" s="27"/>
    </row>
    <row r="13" spans="1:13" x14ac:dyDescent="0.3">
      <c r="H13" s="50"/>
      <c r="I13" s="50"/>
      <c r="J13" s="26"/>
      <c r="K13" s="26"/>
      <c r="M13" s="27"/>
    </row>
    <row r="14" spans="1:13" x14ac:dyDescent="0.3">
      <c r="H14" s="50"/>
      <c r="I14" s="50"/>
      <c r="J14" s="26"/>
      <c r="K14" s="26"/>
      <c r="M14" s="27"/>
    </row>
    <row r="15" spans="1:13" x14ac:dyDescent="0.3">
      <c r="H15" s="50"/>
      <c r="I15" s="50"/>
      <c r="J15" s="26"/>
      <c r="K15" s="26"/>
      <c r="M15" s="27"/>
    </row>
    <row r="16" spans="1:13" x14ac:dyDescent="0.3">
      <c r="H16" s="50"/>
      <c r="I16" s="50"/>
      <c r="J16" s="26"/>
      <c r="K16" s="26"/>
      <c r="M16" s="27"/>
    </row>
    <row r="17" spans="8:13" x14ac:dyDescent="0.3">
      <c r="H17" s="50"/>
      <c r="I17" s="50"/>
      <c r="J17" s="26"/>
      <c r="K17" s="26"/>
      <c r="M17" s="27"/>
    </row>
    <row r="18" spans="8:13" x14ac:dyDescent="0.3">
      <c r="H18" s="50"/>
      <c r="I18" s="50"/>
      <c r="J18" s="26"/>
      <c r="K18" s="26"/>
      <c r="M18" s="27"/>
    </row>
    <row r="19" spans="8:13" x14ac:dyDescent="0.3">
      <c r="H19" s="50"/>
      <c r="I19" s="50"/>
      <c r="J19" s="26"/>
      <c r="K19" s="26"/>
      <c r="M19" s="27"/>
    </row>
    <row r="20" spans="8:13" x14ac:dyDescent="0.3">
      <c r="H20" s="50"/>
      <c r="I20" s="50"/>
      <c r="J20" s="26"/>
      <c r="K20" s="26"/>
      <c r="M20" s="27"/>
    </row>
    <row r="21" spans="8:13" x14ac:dyDescent="0.3">
      <c r="H21" s="50"/>
      <c r="I21" s="50"/>
      <c r="J21" s="26"/>
      <c r="K21" s="26"/>
      <c r="M21" s="27"/>
    </row>
    <row r="22" spans="8:13" x14ac:dyDescent="0.3">
      <c r="H22" s="50"/>
      <c r="I22" s="50"/>
      <c r="J22" s="26"/>
      <c r="K22" s="26"/>
      <c r="M22" s="27"/>
    </row>
    <row r="23" spans="8:13" x14ac:dyDescent="0.3">
      <c r="H23" s="50"/>
      <c r="I23" s="50"/>
      <c r="J23" s="26"/>
      <c r="K23" s="26"/>
      <c r="M23" s="27"/>
    </row>
    <row r="24" spans="8:13" x14ac:dyDescent="0.3">
      <c r="H24" s="50"/>
      <c r="I24" s="50"/>
      <c r="J24" s="26"/>
      <c r="K24" s="26"/>
      <c r="M24" s="27"/>
    </row>
    <row r="25" spans="8:13" x14ac:dyDescent="0.3">
      <c r="H25" s="50"/>
      <c r="I25" s="50"/>
      <c r="J25" s="26"/>
      <c r="K25" s="26"/>
      <c r="M25" s="27"/>
    </row>
    <row r="26" spans="8:13" x14ac:dyDescent="0.3">
      <c r="H26" s="50"/>
      <c r="I26" s="50"/>
      <c r="J26" s="26"/>
      <c r="K26" s="26"/>
      <c r="M26" s="27"/>
    </row>
    <row r="27" spans="8:13" x14ac:dyDescent="0.3">
      <c r="H27" s="50"/>
      <c r="I27" s="50"/>
      <c r="J27" s="26"/>
      <c r="K27" s="26"/>
      <c r="M27" s="27"/>
    </row>
    <row r="28" spans="8:13" x14ac:dyDescent="0.3">
      <c r="H28" s="50"/>
      <c r="I28" s="50"/>
      <c r="J28" s="26"/>
      <c r="K28" s="26"/>
      <c r="M28" s="27"/>
    </row>
    <row r="29" spans="8:13" x14ac:dyDescent="0.3">
      <c r="H29" s="50"/>
      <c r="I29" s="50"/>
      <c r="J29" s="26"/>
      <c r="K29" s="26"/>
      <c r="M29" s="27"/>
    </row>
    <row r="30" spans="8:13" x14ac:dyDescent="0.3">
      <c r="H30" s="50"/>
      <c r="I30" s="50"/>
      <c r="J30" s="26"/>
      <c r="K30" s="26"/>
      <c r="M30" s="27"/>
    </row>
    <row r="31" spans="8:13" x14ac:dyDescent="0.3">
      <c r="H31" s="50"/>
      <c r="I31" s="50"/>
      <c r="J31" s="26"/>
      <c r="K31" s="26"/>
      <c r="M31" s="27"/>
    </row>
    <row r="32" spans="8:13" x14ac:dyDescent="0.3">
      <c r="H32" s="50"/>
      <c r="I32" s="50"/>
      <c r="J32" s="26"/>
      <c r="K32" s="26"/>
      <c r="M32" s="27"/>
    </row>
    <row r="33" spans="8:13" x14ac:dyDescent="0.3">
      <c r="H33" s="50"/>
      <c r="I33" s="50"/>
      <c r="J33" s="26"/>
      <c r="K33" s="26"/>
      <c r="M33" s="27"/>
    </row>
    <row r="34" spans="8:13" x14ac:dyDescent="0.3">
      <c r="H34" s="50"/>
      <c r="I34" s="50"/>
      <c r="J34" s="26"/>
      <c r="K34" s="26"/>
      <c r="M34" s="27"/>
    </row>
    <row r="35" spans="8:13" x14ac:dyDescent="0.3">
      <c r="H35" s="50"/>
      <c r="I35" s="50"/>
      <c r="J35" s="26"/>
      <c r="K35" s="26"/>
      <c r="M35" s="27"/>
    </row>
    <row r="36" spans="8:13" x14ac:dyDescent="0.3">
      <c r="H36" s="50"/>
      <c r="I36" s="50"/>
      <c r="J36" s="26"/>
      <c r="K36" s="26"/>
      <c r="M36" s="27"/>
    </row>
    <row r="37" spans="8:13" x14ac:dyDescent="0.3">
      <c r="H37" s="50"/>
      <c r="I37" s="50"/>
      <c r="J37" s="26"/>
      <c r="K37" s="26"/>
      <c r="M37" s="27"/>
    </row>
    <row r="38" spans="8:13" x14ac:dyDescent="0.3">
      <c r="H38" s="50"/>
      <c r="I38" s="50"/>
      <c r="J38" s="26"/>
      <c r="K38" s="26"/>
      <c r="M38" s="27"/>
    </row>
    <row r="39" spans="8:13" x14ac:dyDescent="0.3">
      <c r="H39" s="50"/>
      <c r="I39" s="50"/>
      <c r="J39" s="26"/>
      <c r="K39" s="26"/>
      <c r="M39" s="27"/>
    </row>
    <row r="40" spans="8:13" x14ac:dyDescent="0.3">
      <c r="H40" s="50"/>
      <c r="I40" s="50"/>
      <c r="J40" s="26"/>
      <c r="K40" s="26"/>
      <c r="M40" s="27"/>
    </row>
    <row r="41" spans="8:13" x14ac:dyDescent="0.3">
      <c r="H41" s="50"/>
      <c r="I41" s="50"/>
      <c r="J41" s="26"/>
      <c r="K41" s="26"/>
      <c r="M41" s="27"/>
    </row>
    <row r="42" spans="8:13" x14ac:dyDescent="0.3">
      <c r="H42" s="50"/>
      <c r="I42" s="50"/>
      <c r="J42" s="26"/>
      <c r="K42" s="26"/>
      <c r="M42" s="27"/>
    </row>
    <row r="43" spans="8:13" x14ac:dyDescent="0.3">
      <c r="H43" s="50"/>
      <c r="I43" s="50"/>
      <c r="J43" s="26"/>
      <c r="K43" s="26"/>
      <c r="M43" s="27"/>
    </row>
    <row r="44" spans="8:13" x14ac:dyDescent="0.3">
      <c r="H44" s="50"/>
      <c r="I44" s="50"/>
      <c r="J44" s="26"/>
      <c r="K44" s="26"/>
      <c r="M44" s="27"/>
    </row>
    <row r="45" spans="8:13" x14ac:dyDescent="0.3">
      <c r="H45" s="50"/>
      <c r="I45" s="50"/>
      <c r="J45" s="26"/>
      <c r="K45" s="26"/>
      <c r="M45" s="27"/>
    </row>
    <row r="46" spans="8:13" x14ac:dyDescent="0.3">
      <c r="H46" s="50"/>
      <c r="I46" s="50"/>
      <c r="J46" s="26"/>
      <c r="K46" s="26"/>
      <c r="M46" s="27"/>
    </row>
    <row r="47" spans="8:13" x14ac:dyDescent="0.3">
      <c r="H47" s="50"/>
      <c r="I47" s="50"/>
      <c r="J47" s="26"/>
      <c r="K47" s="26"/>
      <c r="M47" s="27"/>
    </row>
    <row r="48" spans="8:13" x14ac:dyDescent="0.3">
      <c r="H48" s="50"/>
      <c r="I48" s="50"/>
      <c r="J48" s="26"/>
      <c r="K48" s="26"/>
      <c r="M48" s="27"/>
    </row>
    <row r="49" spans="8:13" x14ac:dyDescent="0.3">
      <c r="H49" s="50"/>
      <c r="I49" s="50"/>
      <c r="J49" s="26"/>
      <c r="K49" s="26"/>
      <c r="M49" s="27"/>
    </row>
    <row r="50" spans="8:13" x14ac:dyDescent="0.3">
      <c r="H50" s="50"/>
      <c r="I50" s="50"/>
      <c r="J50" s="26"/>
      <c r="K50" s="26"/>
      <c r="M50" s="27"/>
    </row>
    <row r="51" spans="8:13" x14ac:dyDescent="0.3">
      <c r="H51" s="50"/>
      <c r="I51" s="50"/>
      <c r="J51" s="26"/>
      <c r="K51" s="26"/>
      <c r="M51" s="27"/>
    </row>
    <row r="52" spans="8:13" x14ac:dyDescent="0.3">
      <c r="H52" s="50"/>
      <c r="I52" s="50"/>
      <c r="J52" s="26"/>
      <c r="K52" s="26"/>
      <c r="M52" s="27"/>
    </row>
    <row r="53" spans="8:13" x14ac:dyDescent="0.3">
      <c r="H53" s="50"/>
      <c r="I53" s="50"/>
      <c r="J53" s="26"/>
      <c r="K53" s="26"/>
      <c r="M53" s="27"/>
    </row>
    <row r="54" spans="8:13" x14ac:dyDescent="0.3">
      <c r="H54" s="50"/>
      <c r="I54" s="50"/>
      <c r="J54" s="26"/>
      <c r="K54" s="26"/>
      <c r="M54" s="27"/>
    </row>
    <row r="55" spans="8:13" x14ac:dyDescent="0.3">
      <c r="H55" s="50"/>
      <c r="I55" s="50"/>
      <c r="J55" s="26"/>
      <c r="K55" s="26"/>
      <c r="M55" s="27"/>
    </row>
    <row r="56" spans="8:13" x14ac:dyDescent="0.3">
      <c r="H56" s="50"/>
      <c r="I56" s="50"/>
      <c r="J56" s="26"/>
      <c r="K56" s="26"/>
      <c r="M56" s="27"/>
    </row>
    <row r="57" spans="8:13" x14ac:dyDescent="0.3">
      <c r="H57" s="50"/>
      <c r="I57" s="50"/>
      <c r="J57" s="26"/>
      <c r="K57" s="26"/>
      <c r="M57" s="27"/>
    </row>
    <row r="58" spans="8:13" x14ac:dyDescent="0.3">
      <c r="H58" s="50"/>
      <c r="I58" s="50"/>
      <c r="J58" s="26"/>
      <c r="K58" s="26"/>
      <c r="M58" s="27"/>
    </row>
    <row r="59" spans="8:13" x14ac:dyDescent="0.3">
      <c r="H59" s="50"/>
      <c r="I59" s="50"/>
      <c r="J59" s="26"/>
      <c r="K59" s="26"/>
      <c r="M59" s="27"/>
    </row>
    <row r="60" spans="8:13" x14ac:dyDescent="0.3">
      <c r="H60" s="50"/>
      <c r="I60" s="50"/>
      <c r="J60" s="26"/>
      <c r="K60" s="26"/>
      <c r="M60" s="27"/>
    </row>
    <row r="61" spans="8:13" x14ac:dyDescent="0.3">
      <c r="H61" s="50"/>
      <c r="I61" s="50"/>
      <c r="J61" s="26"/>
      <c r="K61" s="26"/>
      <c r="M61" s="27"/>
    </row>
    <row r="62" spans="8:13" x14ac:dyDescent="0.3">
      <c r="H62" s="50"/>
      <c r="I62" s="50"/>
      <c r="J62" s="26"/>
      <c r="K62" s="26"/>
      <c r="M62" s="27"/>
    </row>
    <row r="63" spans="8:13" x14ac:dyDescent="0.3">
      <c r="H63" s="50"/>
      <c r="I63" s="50"/>
      <c r="J63" s="26"/>
      <c r="K63" s="26"/>
      <c r="M63" s="27"/>
    </row>
    <row r="64" spans="8:13" x14ac:dyDescent="0.3">
      <c r="H64" s="50"/>
      <c r="I64" s="50"/>
      <c r="J64" s="26"/>
      <c r="K64" s="26"/>
      <c r="M64" s="27"/>
    </row>
    <row r="65" spans="8:13" x14ac:dyDescent="0.3">
      <c r="H65" s="50"/>
      <c r="I65" s="50"/>
      <c r="J65" s="26"/>
      <c r="K65" s="26"/>
      <c r="M65" s="27"/>
    </row>
    <row r="66" spans="8:13" x14ac:dyDescent="0.3">
      <c r="H66" s="50"/>
      <c r="I66" s="50"/>
      <c r="J66" s="26"/>
      <c r="K66" s="26"/>
      <c r="M66" s="27"/>
    </row>
    <row r="67" spans="8:13" x14ac:dyDescent="0.3">
      <c r="H67" s="50"/>
      <c r="I67" s="50"/>
      <c r="J67" s="26"/>
      <c r="K67" s="26"/>
      <c r="M67" s="27"/>
    </row>
    <row r="68" spans="8:13" x14ac:dyDescent="0.3">
      <c r="H68" s="50"/>
      <c r="I68" s="50"/>
      <c r="J68" s="26"/>
      <c r="K68" s="26"/>
      <c r="M68" s="27"/>
    </row>
    <row r="69" spans="8:13" x14ac:dyDescent="0.3">
      <c r="H69" s="50"/>
      <c r="I69" s="50"/>
      <c r="J69" s="26"/>
      <c r="K69" s="26"/>
      <c r="M69" s="27"/>
    </row>
    <row r="70" spans="8:13" x14ac:dyDescent="0.3">
      <c r="H70" s="50"/>
      <c r="I70" s="50"/>
      <c r="J70" s="26"/>
      <c r="K70" s="26"/>
      <c r="M70" s="27"/>
    </row>
    <row r="71" spans="8:13" x14ac:dyDescent="0.3">
      <c r="H71" s="50"/>
      <c r="I71" s="50"/>
      <c r="J71" s="26"/>
      <c r="K71" s="26"/>
      <c r="M71" s="27"/>
    </row>
    <row r="72" spans="8:13" x14ac:dyDescent="0.3">
      <c r="H72" s="50"/>
      <c r="I72" s="50"/>
      <c r="J72" s="26"/>
      <c r="K72" s="26"/>
      <c r="M72" s="27"/>
    </row>
    <row r="73" spans="8:13" x14ac:dyDescent="0.3">
      <c r="H73" s="50"/>
      <c r="I73" s="50"/>
      <c r="J73" s="26"/>
      <c r="K73" s="26"/>
      <c r="M73" s="27"/>
    </row>
    <row r="74" spans="8:13" x14ac:dyDescent="0.3">
      <c r="H74" s="50"/>
      <c r="I74" s="50"/>
      <c r="J74" s="26"/>
      <c r="K74" s="26"/>
      <c r="M74" s="27"/>
    </row>
    <row r="75" spans="8:13" x14ac:dyDescent="0.3">
      <c r="H75" s="50"/>
      <c r="I75" s="50"/>
      <c r="J75" s="26"/>
      <c r="K75" s="26"/>
      <c r="M75" s="27"/>
    </row>
    <row r="76" spans="8:13" x14ac:dyDescent="0.3">
      <c r="H76" s="50"/>
      <c r="I76" s="50"/>
      <c r="J76" s="26"/>
      <c r="K76" s="26"/>
      <c r="M76" s="27"/>
    </row>
    <row r="77" spans="8:13" x14ac:dyDescent="0.3">
      <c r="H77" s="50"/>
      <c r="I77" s="50"/>
      <c r="J77" s="26"/>
      <c r="K77" s="26"/>
      <c r="M77" s="27"/>
    </row>
    <row r="78" spans="8:13" x14ac:dyDescent="0.3">
      <c r="H78" s="50"/>
      <c r="I78" s="50"/>
      <c r="J78" s="26"/>
      <c r="K78" s="26"/>
      <c r="M78" s="27"/>
    </row>
    <row r="79" spans="8:13" x14ac:dyDescent="0.3">
      <c r="H79" s="50"/>
      <c r="I79" s="50"/>
      <c r="J79" s="26"/>
      <c r="K79" s="26"/>
      <c r="M79" s="27"/>
    </row>
    <row r="80" spans="8:13" x14ac:dyDescent="0.3">
      <c r="H80" s="50"/>
      <c r="I80" s="50"/>
      <c r="J80" s="26"/>
      <c r="K80" s="26"/>
      <c r="M80" s="27"/>
    </row>
    <row r="81" spans="8:13" x14ac:dyDescent="0.3">
      <c r="H81" s="50"/>
      <c r="I81" s="50"/>
      <c r="J81" s="26"/>
      <c r="K81" s="26"/>
      <c r="M81" s="27"/>
    </row>
    <row r="82" spans="8:13" x14ac:dyDescent="0.3">
      <c r="H82" s="50"/>
      <c r="I82" s="50"/>
      <c r="J82" s="26"/>
      <c r="K82" s="26"/>
      <c r="M82" s="27"/>
    </row>
    <row r="83" spans="8:13" x14ac:dyDescent="0.3">
      <c r="H83" s="50"/>
      <c r="I83" s="50"/>
      <c r="J83" s="26"/>
      <c r="K83" s="26"/>
      <c r="M83" s="27"/>
    </row>
    <row r="84" spans="8:13" x14ac:dyDescent="0.3">
      <c r="H84" s="50"/>
      <c r="I84" s="50"/>
      <c r="J84" s="26"/>
      <c r="K84" s="26"/>
      <c r="M84" s="27"/>
    </row>
    <row r="85" spans="8:13" x14ac:dyDescent="0.3">
      <c r="H85" s="50"/>
      <c r="I85" s="50"/>
      <c r="J85" s="26"/>
      <c r="K85" s="26"/>
      <c r="M85" s="27"/>
    </row>
    <row r="86" spans="8:13" x14ac:dyDescent="0.3">
      <c r="H86" s="50"/>
      <c r="I86" s="50"/>
      <c r="J86" s="26"/>
      <c r="K86" s="26"/>
      <c r="M86" s="27"/>
    </row>
    <row r="87" spans="8:13" x14ac:dyDescent="0.3">
      <c r="H87" s="50"/>
      <c r="I87" s="50"/>
      <c r="J87" s="26"/>
      <c r="K87" s="26"/>
      <c r="M87" s="27"/>
    </row>
    <row r="88" spans="8:13" x14ac:dyDescent="0.3">
      <c r="H88" s="50"/>
      <c r="I88" s="50"/>
      <c r="J88" s="26"/>
      <c r="K88" s="26"/>
      <c r="M88" s="27"/>
    </row>
    <row r="89" spans="8:13" x14ac:dyDescent="0.3">
      <c r="H89" s="50"/>
      <c r="I89" s="50"/>
      <c r="J89" s="26"/>
      <c r="K89" s="26"/>
      <c r="M89" s="27"/>
    </row>
    <row r="90" spans="8:13" x14ac:dyDescent="0.3">
      <c r="H90" s="50"/>
      <c r="I90" s="50"/>
      <c r="J90" s="26"/>
      <c r="K90" s="26"/>
      <c r="M90" s="27"/>
    </row>
    <row r="91" spans="8:13" x14ac:dyDescent="0.3">
      <c r="H91" s="50"/>
      <c r="I91" s="50"/>
      <c r="J91" s="26"/>
      <c r="K91" s="26"/>
      <c r="M91" s="27"/>
    </row>
    <row r="92" spans="8:13" x14ac:dyDescent="0.3">
      <c r="H92" s="50"/>
      <c r="I92" s="50"/>
      <c r="J92" s="26"/>
      <c r="K92" s="26"/>
      <c r="M92" s="27"/>
    </row>
    <row r="93" spans="8:13" x14ac:dyDescent="0.3">
      <c r="H93" s="50"/>
      <c r="I93" s="50"/>
      <c r="J93" s="26"/>
      <c r="K93" s="26"/>
      <c r="M93" s="27"/>
    </row>
    <row r="94" spans="8:13" x14ac:dyDescent="0.3">
      <c r="H94" s="50"/>
      <c r="I94" s="50"/>
      <c r="J94" s="26"/>
      <c r="K94" s="26"/>
      <c r="M94" s="27"/>
    </row>
    <row r="95" spans="8:13" x14ac:dyDescent="0.3">
      <c r="H95" s="50"/>
      <c r="I95" s="50"/>
      <c r="J95" s="26"/>
      <c r="K95" s="26"/>
      <c r="M95" s="27"/>
    </row>
    <row r="96" spans="8:13" x14ac:dyDescent="0.3">
      <c r="H96" s="50"/>
      <c r="I96" s="50"/>
      <c r="J96" s="26"/>
      <c r="K96" s="26"/>
      <c r="M96" s="27"/>
    </row>
    <row r="97" spans="8:13" x14ac:dyDescent="0.3">
      <c r="H97" s="50"/>
      <c r="I97" s="50"/>
      <c r="J97" s="26"/>
      <c r="K97" s="26"/>
      <c r="M97" s="27"/>
    </row>
    <row r="98" spans="8:13" x14ac:dyDescent="0.3">
      <c r="H98" s="50"/>
      <c r="I98" s="50"/>
      <c r="J98" s="26"/>
      <c r="K98" s="26"/>
      <c r="M98" s="27"/>
    </row>
    <row r="99" spans="8:13" x14ac:dyDescent="0.3">
      <c r="H99" s="50"/>
      <c r="I99" s="50"/>
      <c r="J99" s="26"/>
      <c r="K99" s="26"/>
      <c r="M99" s="27"/>
    </row>
    <row r="100" spans="8:13" x14ac:dyDescent="0.3">
      <c r="H100" s="50"/>
      <c r="I100" s="50"/>
      <c r="J100" s="26"/>
      <c r="K100" s="26"/>
      <c r="M100" s="27"/>
    </row>
    <row r="101" spans="8:13" x14ac:dyDescent="0.3">
      <c r="H101" s="50"/>
      <c r="I101" s="50"/>
      <c r="J101" s="26"/>
      <c r="K101" s="26"/>
      <c r="M101" s="27"/>
    </row>
    <row r="102" spans="8:13" x14ac:dyDescent="0.3">
      <c r="H102" s="50"/>
      <c r="I102" s="50"/>
      <c r="J102" s="26"/>
      <c r="K102" s="26"/>
      <c r="M102" s="27"/>
    </row>
    <row r="103" spans="8:13" x14ac:dyDescent="0.3">
      <c r="H103" s="50"/>
      <c r="I103" s="50"/>
      <c r="J103" s="26"/>
      <c r="K103" s="26"/>
      <c r="M103" s="27"/>
    </row>
    <row r="104" spans="8:13" x14ac:dyDescent="0.3">
      <c r="H104" s="50"/>
      <c r="I104" s="50"/>
      <c r="J104" s="26"/>
      <c r="K104" s="26"/>
      <c r="M104" s="27"/>
    </row>
    <row r="105" spans="8:13" x14ac:dyDescent="0.3">
      <c r="H105" s="50"/>
      <c r="I105" s="50"/>
      <c r="J105" s="26"/>
      <c r="K105" s="26"/>
      <c r="M105" s="27"/>
    </row>
    <row r="106" spans="8:13" x14ac:dyDescent="0.3">
      <c r="H106" s="50"/>
      <c r="I106" s="50"/>
      <c r="J106" s="26"/>
      <c r="K106" s="26"/>
      <c r="M106" s="27"/>
    </row>
    <row r="107" spans="8:13" x14ac:dyDescent="0.3">
      <c r="H107" s="50"/>
      <c r="I107" s="50"/>
      <c r="J107" s="26"/>
      <c r="K107" s="26"/>
      <c r="M107" s="27"/>
    </row>
    <row r="108" spans="8:13" x14ac:dyDescent="0.3">
      <c r="H108" s="50"/>
      <c r="I108" s="50"/>
      <c r="J108" s="26"/>
      <c r="K108" s="26"/>
      <c r="M108" s="27"/>
    </row>
    <row r="109" spans="8:13" x14ac:dyDescent="0.3">
      <c r="H109" s="50"/>
      <c r="I109" s="50"/>
      <c r="J109" s="26"/>
      <c r="K109" s="26"/>
      <c r="M109" s="27"/>
    </row>
    <row r="110" spans="8:13" x14ac:dyDescent="0.3">
      <c r="H110" s="50"/>
      <c r="I110" s="50"/>
      <c r="J110" s="26"/>
      <c r="K110" s="26"/>
      <c r="M110" s="27"/>
    </row>
    <row r="111" spans="8:13" x14ac:dyDescent="0.3">
      <c r="H111" s="50"/>
      <c r="I111" s="50"/>
      <c r="J111" s="26"/>
      <c r="K111" s="26"/>
      <c r="M111" s="27"/>
    </row>
    <row r="112" spans="8:13" x14ac:dyDescent="0.3">
      <c r="H112" s="50"/>
      <c r="I112" s="50"/>
      <c r="J112" s="26"/>
      <c r="K112" s="26"/>
      <c r="M112" s="27"/>
    </row>
    <row r="113" spans="8:13" x14ac:dyDescent="0.3">
      <c r="H113" s="50"/>
      <c r="I113" s="50"/>
      <c r="J113" s="26"/>
      <c r="K113" s="26"/>
      <c r="M113" s="27"/>
    </row>
    <row r="114" spans="8:13" x14ac:dyDescent="0.3">
      <c r="H114" s="50"/>
      <c r="I114" s="50"/>
      <c r="J114" s="26"/>
      <c r="K114" s="26"/>
      <c r="M114" s="27"/>
    </row>
    <row r="115" spans="8:13" x14ac:dyDescent="0.3">
      <c r="H115" s="50"/>
      <c r="I115" s="50"/>
      <c r="J115" s="26"/>
      <c r="K115" s="26"/>
      <c r="M115" s="27"/>
    </row>
    <row r="116" spans="8:13" x14ac:dyDescent="0.3">
      <c r="H116" s="50"/>
      <c r="I116" s="50"/>
      <c r="J116" s="26"/>
      <c r="K116" s="26"/>
      <c r="M116" s="27"/>
    </row>
    <row r="117" spans="8:13" x14ac:dyDescent="0.3">
      <c r="H117" s="50"/>
      <c r="I117" s="50"/>
      <c r="J117" s="26"/>
      <c r="K117" s="26"/>
      <c r="M117" s="27"/>
    </row>
    <row r="118" spans="8:13" x14ac:dyDescent="0.3">
      <c r="H118" s="50"/>
      <c r="I118" s="50"/>
      <c r="J118" s="26"/>
      <c r="K118" s="26"/>
      <c r="M118" s="27"/>
    </row>
    <row r="119" spans="8:13" x14ac:dyDescent="0.3">
      <c r="H119" s="50"/>
      <c r="I119" s="50"/>
      <c r="J119" s="26"/>
      <c r="K119" s="26"/>
      <c r="M119" s="27"/>
    </row>
    <row r="120" spans="8:13" x14ac:dyDescent="0.3">
      <c r="H120" s="50"/>
      <c r="I120" s="50"/>
      <c r="J120" s="26"/>
      <c r="K120" s="26"/>
      <c r="M120" s="27"/>
    </row>
    <row r="121" spans="8:13" x14ac:dyDescent="0.3">
      <c r="H121" s="50"/>
      <c r="I121" s="50"/>
      <c r="J121" s="26"/>
      <c r="K121" s="26"/>
      <c r="M121" s="27"/>
    </row>
    <row r="122" spans="8:13" x14ac:dyDescent="0.3">
      <c r="H122" s="50"/>
      <c r="I122" s="50"/>
      <c r="J122" s="26"/>
      <c r="K122" s="26"/>
      <c r="M122" s="27"/>
    </row>
    <row r="123" spans="8:13" x14ac:dyDescent="0.3">
      <c r="H123" s="50"/>
      <c r="I123" s="50"/>
      <c r="J123" s="26"/>
      <c r="K123" s="26"/>
      <c r="M123" s="27"/>
    </row>
    <row r="124" spans="8:13" x14ac:dyDescent="0.3">
      <c r="H124" s="50"/>
      <c r="I124" s="50"/>
      <c r="J124" s="26"/>
      <c r="K124" s="26"/>
      <c r="M124" s="27"/>
    </row>
    <row r="125" spans="8:13" x14ac:dyDescent="0.3">
      <c r="H125" s="50"/>
      <c r="I125" s="50"/>
      <c r="J125" s="26"/>
      <c r="K125" s="26"/>
      <c r="M125" s="27"/>
    </row>
    <row r="126" spans="8:13" x14ac:dyDescent="0.3">
      <c r="H126" s="50"/>
      <c r="I126" s="50"/>
      <c r="J126" s="26"/>
      <c r="K126" s="26"/>
      <c r="M126" s="27"/>
    </row>
    <row r="127" spans="8:13" x14ac:dyDescent="0.3">
      <c r="H127" s="50"/>
      <c r="I127" s="50"/>
      <c r="J127" s="26"/>
      <c r="K127" s="26"/>
      <c r="M127" s="27"/>
    </row>
    <row r="128" spans="8:13" x14ac:dyDescent="0.3">
      <c r="H128" s="50"/>
      <c r="I128" s="50"/>
      <c r="J128" s="26"/>
      <c r="K128" s="26"/>
      <c r="M128" s="27"/>
    </row>
    <row r="129" spans="8:13" x14ac:dyDescent="0.3">
      <c r="H129" s="50"/>
      <c r="I129" s="50"/>
      <c r="J129" s="26"/>
      <c r="K129" s="26"/>
      <c r="M129" s="27"/>
    </row>
    <row r="130" spans="8:13" x14ac:dyDescent="0.3">
      <c r="H130" s="50"/>
      <c r="I130" s="50"/>
      <c r="J130" s="26"/>
      <c r="K130" s="26"/>
      <c r="M130" s="27"/>
    </row>
    <row r="131" spans="8:13" x14ac:dyDescent="0.3">
      <c r="H131" s="50"/>
      <c r="I131" s="50"/>
      <c r="J131" s="26"/>
      <c r="K131" s="26"/>
      <c r="M131" s="27"/>
    </row>
    <row r="132" spans="8:13" x14ac:dyDescent="0.3">
      <c r="H132" s="50"/>
      <c r="I132" s="50"/>
      <c r="J132" s="26"/>
      <c r="K132" s="26"/>
      <c r="M132" s="27"/>
    </row>
    <row r="133" spans="8:13" x14ac:dyDescent="0.3">
      <c r="H133" s="50"/>
      <c r="I133" s="50"/>
      <c r="J133" s="26"/>
      <c r="K133" s="26"/>
      <c r="M133" s="27"/>
    </row>
    <row r="134" spans="8:13" x14ac:dyDescent="0.3">
      <c r="H134" s="50"/>
      <c r="I134" s="50"/>
      <c r="J134" s="26"/>
      <c r="K134" s="26"/>
      <c r="M134" s="27"/>
    </row>
    <row r="135" spans="8:13" x14ac:dyDescent="0.3">
      <c r="H135" s="50"/>
      <c r="I135" s="50"/>
      <c r="J135" s="26"/>
      <c r="K135" s="26"/>
      <c r="M135" s="27"/>
    </row>
    <row r="136" spans="8:13" x14ac:dyDescent="0.3">
      <c r="H136" s="50"/>
      <c r="I136" s="50"/>
      <c r="J136" s="26"/>
      <c r="K136" s="26"/>
      <c r="M136" s="27"/>
    </row>
    <row r="137" spans="8:13" x14ac:dyDescent="0.3">
      <c r="H137" s="50"/>
      <c r="I137" s="50"/>
      <c r="J137" s="26"/>
      <c r="K137" s="26"/>
      <c r="M137" s="27"/>
    </row>
    <row r="138" spans="8:13" x14ac:dyDescent="0.3">
      <c r="H138" s="50"/>
      <c r="I138" s="50"/>
      <c r="J138" s="26"/>
      <c r="K138" s="26"/>
      <c r="M138" s="27"/>
    </row>
    <row r="139" spans="8:13" x14ac:dyDescent="0.3">
      <c r="H139" s="50"/>
      <c r="I139" s="50"/>
      <c r="J139" s="26"/>
      <c r="K139" s="26"/>
      <c r="M139" s="27"/>
    </row>
    <row r="140" spans="8:13" x14ac:dyDescent="0.3">
      <c r="H140" s="50"/>
      <c r="I140" s="50"/>
      <c r="J140" s="26"/>
      <c r="K140" s="26"/>
      <c r="M140" s="27"/>
    </row>
    <row r="141" spans="8:13" x14ac:dyDescent="0.3">
      <c r="H141" s="50"/>
      <c r="I141" s="50"/>
      <c r="J141" s="26"/>
      <c r="K141" s="26"/>
      <c r="M141" s="27"/>
    </row>
    <row r="142" spans="8:13" x14ac:dyDescent="0.3">
      <c r="H142" s="50"/>
      <c r="I142" s="50"/>
      <c r="J142" s="26"/>
      <c r="K142" s="26"/>
      <c r="M142" s="27"/>
    </row>
    <row r="143" spans="8:13" x14ac:dyDescent="0.3">
      <c r="H143" s="50"/>
      <c r="I143" s="50"/>
      <c r="J143" s="26"/>
      <c r="K143" s="26"/>
      <c r="M143" s="27"/>
    </row>
    <row r="144" spans="8:13" x14ac:dyDescent="0.3">
      <c r="H144" s="50"/>
      <c r="I144" s="50"/>
      <c r="J144" s="26"/>
      <c r="K144" s="26"/>
      <c r="M144" s="27"/>
    </row>
    <row r="145" spans="8:13" x14ac:dyDescent="0.3">
      <c r="H145" s="50"/>
      <c r="I145" s="50"/>
      <c r="J145" s="26"/>
      <c r="K145" s="26"/>
      <c r="M145" s="27"/>
    </row>
    <row r="146" spans="8:13" x14ac:dyDescent="0.3">
      <c r="H146" s="50"/>
      <c r="I146" s="50"/>
      <c r="J146" s="26"/>
      <c r="K146" s="26"/>
      <c r="M146" s="27"/>
    </row>
    <row r="147" spans="8:13" x14ac:dyDescent="0.3">
      <c r="H147" s="50"/>
      <c r="I147" s="50"/>
      <c r="J147" s="26"/>
      <c r="K147" s="26"/>
      <c r="M147" s="27"/>
    </row>
    <row r="148" spans="8:13" x14ac:dyDescent="0.3">
      <c r="H148" s="50"/>
      <c r="I148" s="50"/>
      <c r="J148" s="26"/>
      <c r="K148" s="26"/>
      <c r="M148" s="27"/>
    </row>
    <row r="149" spans="8:13" x14ac:dyDescent="0.3">
      <c r="H149" s="50"/>
      <c r="I149" s="50"/>
      <c r="J149" s="26"/>
      <c r="K149" s="26"/>
      <c r="M149" s="27"/>
    </row>
    <row r="150" spans="8:13" x14ac:dyDescent="0.3">
      <c r="H150" s="50"/>
      <c r="I150" s="50"/>
      <c r="J150" s="26"/>
      <c r="K150" s="26"/>
      <c r="M150" s="27"/>
    </row>
    <row r="151" spans="8:13" x14ac:dyDescent="0.3">
      <c r="H151" s="50"/>
      <c r="I151" s="50"/>
      <c r="J151" s="26"/>
      <c r="K151" s="26"/>
      <c r="M151" s="27"/>
    </row>
    <row r="152" spans="8:13" x14ac:dyDescent="0.3">
      <c r="H152" s="50"/>
      <c r="I152" s="50"/>
      <c r="J152" s="26"/>
      <c r="K152" s="26"/>
      <c r="M152" s="27"/>
    </row>
    <row r="153" spans="8:13" x14ac:dyDescent="0.3">
      <c r="H153" s="50"/>
      <c r="I153" s="50"/>
      <c r="J153" s="26"/>
      <c r="K153" s="26"/>
      <c r="M153" s="27"/>
    </row>
    <row r="154" spans="8:13" x14ac:dyDescent="0.3">
      <c r="H154" s="50"/>
      <c r="I154" s="50"/>
      <c r="J154" s="26"/>
      <c r="K154" s="26"/>
      <c r="M154" s="27"/>
    </row>
    <row r="155" spans="8:13" x14ac:dyDescent="0.3">
      <c r="H155" s="50"/>
      <c r="I155" s="50"/>
      <c r="J155" s="26"/>
      <c r="K155" s="26"/>
      <c r="M155" s="27"/>
    </row>
    <row r="156" spans="8:13" x14ac:dyDescent="0.3">
      <c r="H156" s="50"/>
      <c r="I156" s="50"/>
      <c r="J156" s="26"/>
      <c r="K156" s="26"/>
      <c r="M156" s="27"/>
    </row>
    <row r="157" spans="8:13" x14ac:dyDescent="0.3">
      <c r="H157" s="50"/>
      <c r="I157" s="50"/>
      <c r="J157" s="26"/>
      <c r="K157" s="26"/>
      <c r="M157" s="27"/>
    </row>
    <row r="158" spans="8:13" x14ac:dyDescent="0.3">
      <c r="H158" s="50"/>
      <c r="I158" s="50"/>
      <c r="J158" s="26"/>
      <c r="K158" s="26"/>
      <c r="M158" s="27"/>
    </row>
    <row r="159" spans="8:13" x14ac:dyDescent="0.3">
      <c r="H159" s="50"/>
      <c r="I159" s="50"/>
      <c r="J159" s="26"/>
      <c r="K159" s="26"/>
      <c r="M159" s="27"/>
    </row>
    <row r="160" spans="8:13" x14ac:dyDescent="0.3">
      <c r="H160" s="50"/>
      <c r="I160" s="50"/>
      <c r="J160" s="26"/>
      <c r="K160" s="26"/>
      <c r="M160" s="27"/>
    </row>
    <row r="161" spans="8:13" x14ac:dyDescent="0.3">
      <c r="H161" s="50"/>
      <c r="I161" s="50"/>
      <c r="J161" s="26"/>
      <c r="K161" s="26"/>
      <c r="M161" s="27"/>
    </row>
    <row r="162" spans="8:13" x14ac:dyDescent="0.3">
      <c r="H162" s="50"/>
      <c r="I162" s="50"/>
      <c r="J162" s="26"/>
      <c r="K162" s="26"/>
      <c r="M162" s="27"/>
    </row>
    <row r="163" spans="8:13" x14ac:dyDescent="0.3">
      <c r="H163" s="50"/>
      <c r="I163" s="50"/>
      <c r="J163" s="26"/>
      <c r="K163" s="26"/>
      <c r="M163" s="27"/>
    </row>
    <row r="164" spans="8:13" x14ac:dyDescent="0.3">
      <c r="H164" s="50"/>
      <c r="I164" s="50"/>
      <c r="J164" s="26"/>
      <c r="K164" s="26"/>
      <c r="M164" s="27"/>
    </row>
    <row r="165" spans="8:13" x14ac:dyDescent="0.3">
      <c r="H165" s="50"/>
      <c r="I165" s="50"/>
      <c r="J165" s="26"/>
      <c r="K165" s="26"/>
      <c r="M165" s="27"/>
    </row>
    <row r="166" spans="8:13" x14ac:dyDescent="0.3">
      <c r="H166" s="50"/>
      <c r="I166" s="50"/>
      <c r="J166" s="26"/>
      <c r="K166" s="26"/>
      <c r="M166" s="27"/>
    </row>
    <row r="167" spans="8:13" x14ac:dyDescent="0.3">
      <c r="H167" s="50"/>
      <c r="I167" s="50"/>
      <c r="J167" s="26"/>
      <c r="K167" s="26"/>
      <c r="M167" s="27"/>
    </row>
    <row r="168" spans="8:13" x14ac:dyDescent="0.3">
      <c r="H168" s="50"/>
      <c r="I168" s="50"/>
      <c r="J168" s="26"/>
      <c r="K168" s="26"/>
      <c r="M168" s="27"/>
    </row>
    <row r="169" spans="8:13" x14ac:dyDescent="0.3">
      <c r="H169" s="50"/>
      <c r="I169" s="50"/>
      <c r="J169" s="26"/>
      <c r="K169" s="26"/>
      <c r="M169" s="27"/>
    </row>
    <row r="170" spans="8:13" x14ac:dyDescent="0.3">
      <c r="H170" s="50"/>
      <c r="I170" s="50"/>
      <c r="J170" s="26"/>
      <c r="K170" s="26"/>
      <c r="M170" s="27"/>
    </row>
    <row r="171" spans="8:13" x14ac:dyDescent="0.3">
      <c r="H171" s="50"/>
      <c r="I171" s="50"/>
      <c r="J171" s="26"/>
      <c r="K171" s="26"/>
      <c r="M171" s="27"/>
    </row>
    <row r="172" spans="8:13" x14ac:dyDescent="0.3">
      <c r="H172" s="50"/>
      <c r="I172" s="50"/>
      <c r="J172" s="26"/>
      <c r="K172" s="26"/>
      <c r="M172" s="27"/>
    </row>
    <row r="173" spans="8:13" x14ac:dyDescent="0.3">
      <c r="H173" s="50"/>
      <c r="I173" s="50"/>
      <c r="J173" s="26"/>
      <c r="K173" s="26"/>
      <c r="M173" s="27"/>
    </row>
    <row r="174" spans="8:13" x14ac:dyDescent="0.3">
      <c r="H174" s="50"/>
      <c r="I174" s="50"/>
      <c r="J174" s="26"/>
      <c r="K174" s="26"/>
      <c r="M174" s="27"/>
    </row>
    <row r="175" spans="8:13" x14ac:dyDescent="0.3">
      <c r="H175" s="50"/>
      <c r="I175" s="50"/>
      <c r="J175" s="26"/>
      <c r="K175" s="26"/>
      <c r="M175" s="27"/>
    </row>
    <row r="176" spans="8:13" x14ac:dyDescent="0.3">
      <c r="H176" s="50"/>
      <c r="I176" s="50"/>
      <c r="J176" s="26"/>
      <c r="K176" s="26"/>
      <c r="M176" s="27"/>
    </row>
    <row r="177" spans="8:13" x14ac:dyDescent="0.3">
      <c r="H177" s="50"/>
      <c r="I177" s="50"/>
      <c r="J177" s="26"/>
      <c r="K177" s="26"/>
      <c r="M177" s="27"/>
    </row>
    <row r="178" spans="8:13" x14ac:dyDescent="0.3">
      <c r="H178" s="50"/>
      <c r="I178" s="50"/>
      <c r="J178" s="26"/>
      <c r="K178" s="26"/>
      <c r="M178" s="27"/>
    </row>
    <row r="179" spans="8:13" x14ac:dyDescent="0.3">
      <c r="H179" s="50"/>
      <c r="I179" s="50"/>
      <c r="J179" s="26"/>
      <c r="K179" s="26"/>
      <c r="M179" s="27"/>
    </row>
    <row r="180" spans="8:13" x14ac:dyDescent="0.3">
      <c r="H180" s="50"/>
      <c r="I180" s="50"/>
      <c r="J180" s="26"/>
      <c r="K180" s="26"/>
      <c r="M180" s="27"/>
    </row>
    <row r="181" spans="8:13" x14ac:dyDescent="0.3">
      <c r="H181" s="50"/>
      <c r="I181" s="50"/>
      <c r="J181" s="26"/>
      <c r="K181" s="26"/>
      <c r="M181" s="27"/>
    </row>
    <row r="182" spans="8:13" x14ac:dyDescent="0.3">
      <c r="H182" s="50"/>
      <c r="I182" s="50"/>
      <c r="J182" s="26"/>
      <c r="K182" s="26"/>
      <c r="M182" s="27"/>
    </row>
    <row r="183" spans="8:13" x14ac:dyDescent="0.3">
      <c r="H183" s="50"/>
      <c r="I183" s="50"/>
      <c r="J183" s="26"/>
      <c r="K183" s="26"/>
      <c r="M183" s="27"/>
    </row>
    <row r="184" spans="8:13" x14ac:dyDescent="0.3">
      <c r="H184" s="50"/>
      <c r="I184" s="50"/>
      <c r="J184" s="26"/>
      <c r="K184" s="26"/>
      <c r="M184" s="27"/>
    </row>
    <row r="185" spans="8:13" x14ac:dyDescent="0.3">
      <c r="H185" s="50"/>
      <c r="I185" s="50"/>
      <c r="J185" s="26"/>
      <c r="K185" s="26"/>
      <c r="M185" s="27"/>
    </row>
    <row r="186" spans="8:13" x14ac:dyDescent="0.3">
      <c r="H186" s="50"/>
      <c r="I186" s="50"/>
      <c r="J186" s="26"/>
      <c r="K186" s="26"/>
      <c r="M186" s="27"/>
    </row>
    <row r="187" spans="8:13" x14ac:dyDescent="0.3">
      <c r="H187" s="50"/>
      <c r="I187" s="50"/>
      <c r="J187" s="26"/>
      <c r="K187" s="26"/>
      <c r="M187" s="27"/>
    </row>
    <row r="188" spans="8:13" x14ac:dyDescent="0.3">
      <c r="H188" s="50"/>
      <c r="I188" s="50"/>
      <c r="J188" s="26"/>
      <c r="K188" s="26"/>
      <c r="M188" s="27"/>
    </row>
    <row r="189" spans="8:13" x14ac:dyDescent="0.3">
      <c r="H189" s="50"/>
      <c r="I189" s="50"/>
      <c r="J189" s="26"/>
      <c r="K189" s="26"/>
      <c r="M189" s="27"/>
    </row>
    <row r="190" spans="8:13" x14ac:dyDescent="0.3">
      <c r="H190" s="50"/>
      <c r="I190" s="50"/>
      <c r="J190" s="26"/>
      <c r="K190" s="26"/>
      <c r="M190" s="27"/>
    </row>
    <row r="191" spans="8:13" x14ac:dyDescent="0.3">
      <c r="H191" s="50"/>
      <c r="I191" s="50"/>
      <c r="J191" s="26"/>
      <c r="K191" s="26"/>
      <c r="M191" s="27"/>
    </row>
    <row r="192" spans="8:13" x14ac:dyDescent="0.3">
      <c r="H192" s="50"/>
      <c r="I192" s="50"/>
      <c r="J192" s="26"/>
      <c r="K192" s="26"/>
      <c r="M192" s="27"/>
    </row>
    <row r="193" spans="8:13" x14ac:dyDescent="0.3">
      <c r="H193" s="50"/>
      <c r="I193" s="50"/>
      <c r="J193" s="26"/>
      <c r="K193" s="26"/>
      <c r="M193" s="27"/>
    </row>
    <row r="194" spans="8:13" x14ac:dyDescent="0.3">
      <c r="H194" s="50"/>
      <c r="I194" s="50"/>
      <c r="J194" s="26"/>
      <c r="K194" s="26"/>
      <c r="M194" s="27"/>
    </row>
    <row r="195" spans="8:13" x14ac:dyDescent="0.3">
      <c r="H195" s="50"/>
      <c r="I195" s="50"/>
      <c r="J195" s="26"/>
      <c r="K195" s="26"/>
      <c r="M195" s="27"/>
    </row>
    <row r="196" spans="8:13" x14ac:dyDescent="0.3">
      <c r="H196" s="50"/>
      <c r="I196" s="50"/>
      <c r="J196" s="26"/>
      <c r="K196" s="26"/>
      <c r="M196" s="27"/>
    </row>
    <row r="197" spans="8:13" x14ac:dyDescent="0.3">
      <c r="H197" s="50"/>
      <c r="I197" s="50"/>
      <c r="J197" s="26"/>
      <c r="K197" s="26"/>
      <c r="M197" s="27"/>
    </row>
    <row r="198" spans="8:13" x14ac:dyDescent="0.3">
      <c r="H198" s="50"/>
      <c r="I198" s="50"/>
      <c r="J198" s="26"/>
      <c r="K198" s="26"/>
      <c r="M198" s="27"/>
    </row>
    <row r="199" spans="8:13" x14ac:dyDescent="0.3">
      <c r="H199" s="50"/>
      <c r="I199" s="50"/>
      <c r="J199" s="26"/>
      <c r="K199" s="26"/>
      <c r="M199" s="27"/>
    </row>
    <row r="200" spans="8:13" x14ac:dyDescent="0.3">
      <c r="H200" s="50"/>
      <c r="I200" s="50"/>
      <c r="J200" s="26"/>
      <c r="K200" s="26"/>
      <c r="M200" s="27"/>
    </row>
    <row r="201" spans="8:13" x14ac:dyDescent="0.3">
      <c r="H201" s="50"/>
      <c r="I201" s="50"/>
      <c r="J201" s="26"/>
      <c r="K201" s="26"/>
      <c r="M201" s="27"/>
    </row>
    <row r="202" spans="8:13" x14ac:dyDescent="0.3">
      <c r="H202" s="50"/>
      <c r="I202" s="50"/>
      <c r="J202" s="26"/>
      <c r="K202" s="26"/>
      <c r="M202" s="27"/>
    </row>
    <row r="203" spans="8:13" x14ac:dyDescent="0.3">
      <c r="H203" s="50"/>
      <c r="I203" s="50"/>
      <c r="J203" s="26"/>
      <c r="K203" s="26"/>
      <c r="M203" s="27"/>
    </row>
    <row r="204" spans="8:13" x14ac:dyDescent="0.3">
      <c r="H204" s="50"/>
      <c r="I204" s="50"/>
      <c r="J204" s="26"/>
      <c r="K204" s="26"/>
      <c r="M204" s="27"/>
    </row>
    <row r="205" spans="8:13" x14ac:dyDescent="0.3">
      <c r="H205" s="50"/>
      <c r="I205" s="50"/>
      <c r="J205" s="26"/>
      <c r="K205" s="26"/>
      <c r="M205" s="27"/>
    </row>
    <row r="206" spans="8:13" x14ac:dyDescent="0.3">
      <c r="H206" s="50"/>
      <c r="I206" s="50"/>
      <c r="J206" s="26"/>
      <c r="K206" s="26"/>
      <c r="M206" s="27"/>
    </row>
    <row r="207" spans="8:13" x14ac:dyDescent="0.3">
      <c r="H207" s="50"/>
      <c r="I207" s="50"/>
      <c r="J207" s="26"/>
      <c r="K207" s="26"/>
      <c r="M207" s="27"/>
    </row>
    <row r="208" spans="8:13" x14ac:dyDescent="0.3">
      <c r="H208" s="50"/>
      <c r="I208" s="50"/>
      <c r="J208" s="26"/>
      <c r="K208" s="26"/>
      <c r="M208" s="27"/>
    </row>
    <row r="209" spans="8:13" x14ac:dyDescent="0.3">
      <c r="H209" s="50"/>
      <c r="I209" s="50"/>
      <c r="J209" s="26"/>
      <c r="K209" s="26"/>
      <c r="M209" s="27"/>
    </row>
    <row r="210" spans="8:13" x14ac:dyDescent="0.3">
      <c r="H210" s="50"/>
      <c r="I210" s="50"/>
      <c r="J210" s="26"/>
      <c r="K210" s="26"/>
      <c r="M210" s="27"/>
    </row>
    <row r="211" spans="8:13" x14ac:dyDescent="0.3">
      <c r="H211" s="50"/>
      <c r="I211" s="50"/>
      <c r="J211" s="26"/>
      <c r="K211" s="26"/>
      <c r="M211" s="27"/>
    </row>
    <row r="212" spans="8:13" x14ac:dyDescent="0.3">
      <c r="H212" s="50"/>
      <c r="I212" s="50"/>
      <c r="J212" s="26"/>
      <c r="K212" s="26"/>
      <c r="M212" s="27"/>
    </row>
    <row r="213" spans="8:13" x14ac:dyDescent="0.3">
      <c r="H213" s="50"/>
      <c r="I213" s="50"/>
      <c r="J213" s="26"/>
      <c r="K213" s="26"/>
      <c r="M213" s="27"/>
    </row>
    <row r="214" spans="8:13" x14ac:dyDescent="0.3">
      <c r="H214" s="50"/>
      <c r="I214" s="50"/>
      <c r="J214" s="26"/>
      <c r="K214" s="26"/>
      <c r="M214" s="27"/>
    </row>
    <row r="215" spans="8:13" x14ac:dyDescent="0.3">
      <c r="H215" s="50"/>
      <c r="I215" s="50"/>
      <c r="J215" s="26"/>
      <c r="K215" s="26"/>
      <c r="M215" s="27"/>
    </row>
    <row r="216" spans="8:13" x14ac:dyDescent="0.3">
      <c r="H216" s="50"/>
      <c r="I216" s="50"/>
      <c r="J216" s="26"/>
      <c r="K216" s="26"/>
      <c r="M216" s="27"/>
    </row>
    <row r="217" spans="8:13" x14ac:dyDescent="0.3">
      <c r="H217" s="50"/>
      <c r="I217" s="50"/>
      <c r="J217" s="26"/>
      <c r="K217" s="26"/>
      <c r="M217" s="27"/>
    </row>
    <row r="218" spans="8:13" x14ac:dyDescent="0.3">
      <c r="H218" s="50"/>
      <c r="I218" s="50"/>
      <c r="J218" s="26"/>
      <c r="K218" s="26"/>
      <c r="M218" s="27"/>
    </row>
    <row r="219" spans="8:13" x14ac:dyDescent="0.3">
      <c r="H219" s="50"/>
      <c r="I219" s="50"/>
      <c r="J219" s="26"/>
      <c r="K219" s="26"/>
      <c r="M219" s="27"/>
    </row>
    <row r="220" spans="8:13" x14ac:dyDescent="0.3">
      <c r="H220" s="50"/>
      <c r="I220" s="50"/>
      <c r="J220" s="26"/>
      <c r="K220" s="26"/>
      <c r="M220" s="27"/>
    </row>
    <row r="221" spans="8:13" x14ac:dyDescent="0.3">
      <c r="H221" s="50"/>
      <c r="I221" s="50"/>
      <c r="J221" s="26"/>
      <c r="K221" s="26"/>
      <c r="M221" s="27"/>
    </row>
    <row r="222" spans="8:13" x14ac:dyDescent="0.3">
      <c r="H222" s="50"/>
      <c r="I222" s="50"/>
      <c r="J222" s="26"/>
      <c r="K222" s="26"/>
      <c r="M222" s="27"/>
    </row>
    <row r="223" spans="8:13" x14ac:dyDescent="0.3">
      <c r="H223" s="50"/>
      <c r="I223" s="50"/>
      <c r="J223" s="26"/>
      <c r="K223" s="26"/>
      <c r="M223" s="27"/>
    </row>
    <row r="224" spans="8:13" x14ac:dyDescent="0.3">
      <c r="H224" s="50"/>
      <c r="I224" s="50"/>
      <c r="J224" s="26"/>
      <c r="K224" s="26"/>
      <c r="M224" s="27"/>
    </row>
    <row r="225" spans="8:13" x14ac:dyDescent="0.3">
      <c r="H225" s="50"/>
      <c r="I225" s="50"/>
      <c r="J225" s="26"/>
      <c r="K225" s="26"/>
      <c r="M225" s="27"/>
    </row>
    <row r="226" spans="8:13" x14ac:dyDescent="0.3">
      <c r="H226" s="50"/>
      <c r="I226" s="50"/>
      <c r="J226" s="26"/>
      <c r="K226" s="26"/>
      <c r="M226" s="27"/>
    </row>
    <row r="227" spans="8:13" x14ac:dyDescent="0.3">
      <c r="H227" s="50"/>
      <c r="I227" s="50"/>
      <c r="J227" s="26"/>
      <c r="K227" s="26"/>
      <c r="M227" s="27"/>
    </row>
    <row r="228" spans="8:13" x14ac:dyDescent="0.3">
      <c r="H228" s="50"/>
      <c r="I228" s="50"/>
      <c r="J228" s="26"/>
      <c r="K228" s="26"/>
      <c r="M228" s="27"/>
    </row>
    <row r="229" spans="8:13" x14ac:dyDescent="0.3">
      <c r="H229" s="50"/>
      <c r="I229" s="50"/>
      <c r="J229" s="26"/>
      <c r="K229" s="26"/>
      <c r="M229" s="27"/>
    </row>
    <row r="230" spans="8:13" x14ac:dyDescent="0.3">
      <c r="H230" s="50"/>
      <c r="I230" s="50"/>
      <c r="J230" s="26"/>
      <c r="K230" s="26"/>
      <c r="M230" s="27"/>
    </row>
    <row r="231" spans="8:13" x14ac:dyDescent="0.3">
      <c r="H231" s="50"/>
      <c r="I231" s="50"/>
      <c r="J231" s="26"/>
      <c r="K231" s="26"/>
      <c r="M231" s="27"/>
    </row>
    <row r="232" spans="8:13" x14ac:dyDescent="0.3">
      <c r="H232" s="50"/>
      <c r="I232" s="50"/>
      <c r="J232" s="26"/>
      <c r="K232" s="26"/>
      <c r="M232" s="27"/>
    </row>
    <row r="233" spans="8:13" x14ac:dyDescent="0.3">
      <c r="H233" s="50"/>
      <c r="I233" s="50"/>
      <c r="J233" s="26"/>
      <c r="K233" s="26"/>
      <c r="M233" s="27"/>
    </row>
    <row r="234" spans="8:13" x14ac:dyDescent="0.3">
      <c r="H234" s="50"/>
      <c r="I234" s="50"/>
      <c r="J234" s="26"/>
      <c r="K234" s="26"/>
      <c r="M234" s="27"/>
    </row>
    <row r="235" spans="8:13" x14ac:dyDescent="0.3">
      <c r="H235" s="50"/>
      <c r="I235" s="50"/>
      <c r="J235" s="26"/>
      <c r="K235" s="26"/>
      <c r="M235" s="27"/>
    </row>
    <row r="236" spans="8:13" x14ac:dyDescent="0.3">
      <c r="H236" s="50"/>
      <c r="I236" s="50"/>
      <c r="J236" s="26"/>
      <c r="K236" s="26"/>
      <c r="M236" s="27"/>
    </row>
    <row r="237" spans="8:13" x14ac:dyDescent="0.3">
      <c r="H237" s="50"/>
      <c r="I237" s="50"/>
      <c r="J237" s="26"/>
      <c r="K237" s="26"/>
      <c r="M237" s="27"/>
    </row>
    <row r="238" spans="8:13" x14ac:dyDescent="0.3">
      <c r="H238" s="50"/>
      <c r="I238" s="50"/>
      <c r="J238" s="26"/>
      <c r="K238" s="26"/>
      <c r="M238" s="27"/>
    </row>
    <row r="239" spans="8:13" x14ac:dyDescent="0.3">
      <c r="H239" s="50"/>
      <c r="I239" s="50"/>
      <c r="J239" s="26"/>
      <c r="K239" s="26"/>
      <c r="M239" s="27"/>
    </row>
    <row r="240" spans="8:13" x14ac:dyDescent="0.3">
      <c r="H240" s="50"/>
      <c r="I240" s="50"/>
      <c r="J240" s="26"/>
      <c r="K240" s="26"/>
      <c r="M240" s="27"/>
    </row>
    <row r="241" spans="8:13" x14ac:dyDescent="0.3">
      <c r="H241" s="50"/>
      <c r="I241" s="50"/>
      <c r="J241" s="26"/>
      <c r="K241" s="26"/>
      <c r="M241" s="27"/>
    </row>
    <row r="242" spans="8:13" x14ac:dyDescent="0.3">
      <c r="H242" s="50"/>
      <c r="I242" s="50"/>
      <c r="J242" s="26"/>
      <c r="K242" s="26"/>
      <c r="M242" s="27"/>
    </row>
    <row r="243" spans="8:13" x14ac:dyDescent="0.3">
      <c r="H243" s="50"/>
      <c r="I243" s="50"/>
      <c r="J243" s="26"/>
      <c r="K243" s="26"/>
      <c r="M243" s="27"/>
    </row>
    <row r="244" spans="8:13" x14ac:dyDescent="0.3">
      <c r="H244" s="50"/>
      <c r="I244" s="50"/>
      <c r="J244" s="26"/>
      <c r="K244" s="26"/>
      <c r="M244" s="27"/>
    </row>
    <row r="245" spans="8:13" x14ac:dyDescent="0.3">
      <c r="H245" s="50"/>
      <c r="I245" s="50"/>
      <c r="J245" s="26"/>
      <c r="K245" s="26"/>
      <c r="M245" s="27"/>
    </row>
    <row r="246" spans="8:13" x14ac:dyDescent="0.3">
      <c r="H246" s="50"/>
      <c r="I246" s="50"/>
      <c r="J246" s="26"/>
      <c r="K246" s="26"/>
      <c r="M246" s="27"/>
    </row>
    <row r="247" spans="8:13" x14ac:dyDescent="0.3">
      <c r="H247" s="50"/>
      <c r="I247" s="50"/>
      <c r="J247" s="26"/>
      <c r="K247" s="26"/>
      <c r="M247" s="27"/>
    </row>
    <row r="248" spans="8:13" x14ac:dyDescent="0.3">
      <c r="H248" s="50"/>
      <c r="I248" s="50"/>
      <c r="J248" s="26"/>
      <c r="K248" s="26"/>
      <c r="M248" s="27"/>
    </row>
    <row r="249" spans="8:13" x14ac:dyDescent="0.3">
      <c r="H249" s="50"/>
      <c r="I249" s="50"/>
      <c r="J249" s="26"/>
      <c r="K249" s="26"/>
      <c r="M249" s="27"/>
    </row>
    <row r="250" spans="8:13" x14ac:dyDescent="0.3">
      <c r="H250" s="50"/>
      <c r="I250" s="50"/>
      <c r="J250" s="26"/>
      <c r="K250" s="26"/>
      <c r="M250" s="27"/>
    </row>
    <row r="251" spans="8:13" x14ac:dyDescent="0.3">
      <c r="H251" s="50"/>
      <c r="I251" s="50"/>
      <c r="J251" s="26"/>
      <c r="K251" s="26"/>
      <c r="M251" s="27"/>
    </row>
    <row r="252" spans="8:13" x14ac:dyDescent="0.3">
      <c r="H252" s="50"/>
      <c r="I252" s="50"/>
      <c r="J252" s="26"/>
      <c r="K252" s="26"/>
      <c r="M252" s="27"/>
    </row>
    <row r="253" spans="8:13" x14ac:dyDescent="0.3">
      <c r="H253" s="50"/>
      <c r="I253" s="50"/>
      <c r="J253" s="26"/>
      <c r="K253" s="26"/>
      <c r="M253" s="27"/>
    </row>
    <row r="254" spans="8:13" x14ac:dyDescent="0.3">
      <c r="H254" s="50"/>
      <c r="I254" s="50"/>
      <c r="J254" s="26"/>
      <c r="K254" s="26"/>
      <c r="M254" s="27"/>
    </row>
    <row r="255" spans="8:13" x14ac:dyDescent="0.3">
      <c r="H255" s="50"/>
      <c r="I255" s="50"/>
      <c r="J255" s="26"/>
      <c r="K255" s="26"/>
      <c r="M255" s="27"/>
    </row>
    <row r="256" spans="8:13" x14ac:dyDescent="0.3">
      <c r="H256" s="50"/>
      <c r="I256" s="50"/>
      <c r="J256" s="26"/>
      <c r="K256" s="26"/>
      <c r="M256" s="27"/>
    </row>
    <row r="257" spans="8:13" x14ac:dyDescent="0.3">
      <c r="H257" s="50"/>
      <c r="I257" s="50"/>
      <c r="J257" s="26"/>
      <c r="K257" s="26"/>
      <c r="M257" s="27"/>
    </row>
    <row r="258" spans="8:13" x14ac:dyDescent="0.3">
      <c r="H258" s="50"/>
      <c r="I258" s="50"/>
      <c r="J258" s="26"/>
      <c r="K258" s="26"/>
      <c r="M258" s="27"/>
    </row>
    <row r="259" spans="8:13" x14ac:dyDescent="0.3">
      <c r="H259" s="50"/>
      <c r="I259" s="50"/>
      <c r="J259" s="26"/>
      <c r="K259" s="26"/>
      <c r="M259" s="27"/>
    </row>
    <row r="260" spans="8:13" x14ac:dyDescent="0.3">
      <c r="H260" s="50"/>
      <c r="I260" s="50"/>
      <c r="J260" s="26"/>
      <c r="K260" s="26"/>
      <c r="M260" s="27"/>
    </row>
    <row r="261" spans="8:13" x14ac:dyDescent="0.3">
      <c r="H261" s="50"/>
      <c r="I261" s="50"/>
      <c r="J261" s="26"/>
      <c r="K261" s="26"/>
      <c r="M261" s="27"/>
    </row>
    <row r="262" spans="8:13" x14ac:dyDescent="0.3">
      <c r="H262" s="50"/>
      <c r="I262" s="50"/>
      <c r="J262" s="26"/>
      <c r="K262" s="26"/>
      <c r="M262" s="27"/>
    </row>
    <row r="263" spans="8:13" x14ac:dyDescent="0.3">
      <c r="H263" s="50"/>
      <c r="I263" s="50"/>
      <c r="J263" s="26"/>
      <c r="K263" s="26"/>
      <c r="M263" s="27"/>
    </row>
    <row r="264" spans="8:13" x14ac:dyDescent="0.3">
      <c r="H264" s="50"/>
      <c r="I264" s="50"/>
      <c r="J264" s="26"/>
      <c r="K264" s="26"/>
      <c r="M264" s="27"/>
    </row>
    <row r="265" spans="8:13" x14ac:dyDescent="0.3">
      <c r="H265" s="50"/>
      <c r="I265" s="50"/>
      <c r="J265" s="26"/>
      <c r="K265" s="26"/>
      <c r="M265" s="27"/>
    </row>
    <row r="266" spans="8:13" x14ac:dyDescent="0.3">
      <c r="H266" s="50"/>
      <c r="I266" s="50"/>
      <c r="J266" s="26"/>
      <c r="K266" s="26"/>
      <c r="M266" s="27"/>
    </row>
    <row r="267" spans="8:13" x14ac:dyDescent="0.3">
      <c r="H267" s="50"/>
      <c r="I267" s="50"/>
      <c r="J267" s="26"/>
      <c r="K267" s="26"/>
      <c r="M267" s="27"/>
    </row>
    <row r="268" spans="8:13" x14ac:dyDescent="0.3">
      <c r="H268" s="50"/>
      <c r="I268" s="50"/>
      <c r="J268" s="26"/>
      <c r="K268" s="26"/>
      <c r="M268" s="27"/>
    </row>
    <row r="269" spans="8:13" x14ac:dyDescent="0.3">
      <c r="H269" s="50"/>
      <c r="I269" s="50"/>
      <c r="J269" s="26"/>
      <c r="K269" s="26"/>
      <c r="M269" s="27"/>
    </row>
    <row r="270" spans="8:13" x14ac:dyDescent="0.3">
      <c r="H270" s="50"/>
      <c r="I270" s="50"/>
      <c r="J270" s="26"/>
      <c r="K270" s="26"/>
      <c r="M270" s="27"/>
    </row>
    <row r="271" spans="8:13" x14ac:dyDescent="0.3">
      <c r="H271" s="50"/>
      <c r="I271" s="50"/>
      <c r="J271" s="26"/>
      <c r="K271" s="26"/>
      <c r="M271" s="27"/>
    </row>
    <row r="272" spans="8:13" x14ac:dyDescent="0.3">
      <c r="H272" s="50"/>
      <c r="I272" s="50"/>
      <c r="J272" s="26"/>
      <c r="K272" s="26"/>
      <c r="M272" s="27"/>
    </row>
    <row r="273" spans="8:13" x14ac:dyDescent="0.3">
      <c r="H273" s="50"/>
      <c r="I273" s="50"/>
      <c r="J273" s="26"/>
      <c r="K273" s="26"/>
      <c r="M273" s="27"/>
    </row>
    <row r="274" spans="8:13" x14ac:dyDescent="0.3">
      <c r="H274" s="50"/>
      <c r="I274" s="50"/>
      <c r="J274" s="26"/>
      <c r="K274" s="26"/>
      <c r="M274" s="27"/>
    </row>
    <row r="275" spans="8:13" x14ac:dyDescent="0.3">
      <c r="H275" s="50"/>
      <c r="I275" s="50"/>
      <c r="J275" s="26"/>
      <c r="K275" s="26"/>
      <c r="M275" s="27"/>
    </row>
    <row r="276" spans="8:13" x14ac:dyDescent="0.3">
      <c r="H276" s="50"/>
      <c r="I276" s="50"/>
      <c r="J276" s="26"/>
      <c r="K276" s="26"/>
      <c r="M276" s="27"/>
    </row>
    <row r="277" spans="8:13" x14ac:dyDescent="0.3">
      <c r="H277" s="50"/>
      <c r="I277" s="50"/>
      <c r="J277" s="26"/>
      <c r="K277" s="26"/>
      <c r="M277" s="27"/>
    </row>
    <row r="278" spans="8:13" x14ac:dyDescent="0.3">
      <c r="H278" s="50"/>
      <c r="I278" s="50"/>
      <c r="J278" s="26"/>
      <c r="K278" s="26"/>
      <c r="M278" s="27"/>
    </row>
    <row r="279" spans="8:13" x14ac:dyDescent="0.3">
      <c r="H279" s="50"/>
      <c r="I279" s="50"/>
      <c r="J279" s="26"/>
      <c r="K279" s="26"/>
      <c r="M279" s="27"/>
    </row>
    <row r="280" spans="8:13" x14ac:dyDescent="0.3">
      <c r="H280" s="50"/>
      <c r="I280" s="50"/>
      <c r="J280" s="26"/>
      <c r="K280" s="26"/>
      <c r="M280" s="27"/>
    </row>
    <row r="281" spans="8:13" x14ac:dyDescent="0.3">
      <c r="H281" s="50"/>
      <c r="I281" s="50"/>
      <c r="J281" s="26"/>
      <c r="K281" s="26"/>
      <c r="M281" s="27"/>
    </row>
    <row r="282" spans="8:13" x14ac:dyDescent="0.3">
      <c r="H282" s="50"/>
      <c r="I282" s="50"/>
      <c r="J282" s="26"/>
      <c r="K282" s="26"/>
      <c r="M282" s="27"/>
    </row>
    <row r="283" spans="8:13" x14ac:dyDescent="0.3">
      <c r="H283" s="50"/>
      <c r="I283" s="50"/>
      <c r="J283" s="26"/>
      <c r="K283" s="26"/>
      <c r="M283" s="27"/>
    </row>
    <row r="284" spans="8:13" x14ac:dyDescent="0.3">
      <c r="H284" s="50"/>
      <c r="I284" s="50"/>
      <c r="J284" s="26"/>
      <c r="K284" s="26"/>
      <c r="M284" s="27"/>
    </row>
    <row r="285" spans="8:13" x14ac:dyDescent="0.3">
      <c r="H285" s="50"/>
      <c r="I285" s="50"/>
      <c r="J285" s="26"/>
      <c r="K285" s="26"/>
      <c r="M285" s="27"/>
    </row>
    <row r="286" spans="8:13" x14ac:dyDescent="0.3">
      <c r="H286" s="50"/>
      <c r="I286" s="50"/>
      <c r="J286" s="26"/>
      <c r="K286" s="26"/>
      <c r="M286" s="27"/>
    </row>
    <row r="287" spans="8:13" x14ac:dyDescent="0.3">
      <c r="H287" s="50"/>
      <c r="I287" s="50"/>
      <c r="J287" s="26"/>
      <c r="K287" s="26"/>
      <c r="M287" s="27"/>
    </row>
    <row r="288" spans="8:13" x14ac:dyDescent="0.3">
      <c r="H288" s="50"/>
      <c r="I288" s="50"/>
      <c r="J288" s="26"/>
      <c r="K288" s="26"/>
      <c r="M288" s="27"/>
    </row>
    <row r="289" spans="8:13" x14ac:dyDescent="0.3">
      <c r="H289" s="50"/>
      <c r="I289" s="50"/>
      <c r="J289" s="26"/>
      <c r="K289" s="26"/>
      <c r="M289" s="27"/>
    </row>
    <row r="290" spans="8:13" x14ac:dyDescent="0.3">
      <c r="H290" s="50"/>
      <c r="I290" s="50"/>
      <c r="J290" s="26"/>
      <c r="K290" s="26"/>
      <c r="M290" s="27"/>
    </row>
    <row r="291" spans="8:13" x14ac:dyDescent="0.3">
      <c r="H291" s="50"/>
      <c r="I291" s="50"/>
      <c r="J291" s="26"/>
      <c r="K291" s="26"/>
      <c r="M291" s="27"/>
    </row>
    <row r="292" spans="8:13" x14ac:dyDescent="0.3">
      <c r="H292" s="50"/>
      <c r="I292" s="50"/>
      <c r="J292" s="26"/>
      <c r="K292" s="26"/>
      <c r="M292" s="27"/>
    </row>
    <row r="293" spans="8:13" x14ac:dyDescent="0.3">
      <c r="H293" s="50"/>
      <c r="I293" s="50"/>
      <c r="J293" s="26"/>
      <c r="K293" s="26"/>
      <c r="M293" s="27"/>
    </row>
    <row r="294" spans="8:13" x14ac:dyDescent="0.3">
      <c r="H294" s="50"/>
      <c r="I294" s="50"/>
      <c r="J294" s="26"/>
      <c r="K294" s="26"/>
      <c r="M294" s="27"/>
    </row>
    <row r="295" spans="8:13" x14ac:dyDescent="0.3">
      <c r="H295" s="50"/>
      <c r="I295" s="50"/>
      <c r="J295" s="26"/>
      <c r="K295" s="26"/>
      <c r="M295" s="27"/>
    </row>
    <row r="296" spans="8:13" x14ac:dyDescent="0.3">
      <c r="H296" s="50"/>
      <c r="I296" s="50"/>
      <c r="J296" s="26"/>
      <c r="K296" s="26"/>
      <c r="M296" s="27"/>
    </row>
    <row r="297" spans="8:13" x14ac:dyDescent="0.3">
      <c r="H297" s="50"/>
      <c r="I297" s="50"/>
      <c r="J297" s="26"/>
      <c r="K297" s="26"/>
      <c r="M297" s="27"/>
    </row>
    <row r="298" spans="8:13" x14ac:dyDescent="0.3">
      <c r="H298" s="50"/>
      <c r="I298" s="50"/>
      <c r="J298" s="26"/>
      <c r="K298" s="26"/>
      <c r="M298" s="27"/>
    </row>
    <row r="299" spans="8:13" x14ac:dyDescent="0.3">
      <c r="H299" s="50"/>
      <c r="I299" s="50"/>
      <c r="J299" s="26"/>
      <c r="K299" s="26"/>
      <c r="M299" s="27"/>
    </row>
    <row r="300" spans="8:13" x14ac:dyDescent="0.3">
      <c r="H300" s="50"/>
      <c r="I300" s="50"/>
      <c r="J300" s="26"/>
      <c r="K300" s="26"/>
      <c r="M300" s="27"/>
    </row>
    <row r="301" spans="8:13" x14ac:dyDescent="0.3">
      <c r="H301" s="50"/>
      <c r="I301" s="50"/>
      <c r="J301" s="26"/>
      <c r="K301" s="26"/>
      <c r="M301" s="27"/>
    </row>
    <row r="302" spans="8:13" x14ac:dyDescent="0.3">
      <c r="H302" s="50"/>
      <c r="I302" s="50"/>
      <c r="J302" s="26"/>
      <c r="K302" s="26"/>
      <c r="M302" s="27"/>
    </row>
    <row r="303" spans="8:13" x14ac:dyDescent="0.3">
      <c r="H303" s="50"/>
      <c r="I303" s="50"/>
      <c r="J303" s="26"/>
      <c r="K303" s="26"/>
      <c r="M303" s="27"/>
    </row>
    <row r="304" spans="8:13" x14ac:dyDescent="0.3">
      <c r="H304" s="50"/>
      <c r="I304" s="50"/>
      <c r="J304" s="26"/>
      <c r="K304" s="26"/>
      <c r="M304" s="27"/>
    </row>
    <row r="305" spans="8:13" x14ac:dyDescent="0.3">
      <c r="H305" s="50"/>
      <c r="I305" s="50"/>
      <c r="J305" s="26"/>
      <c r="K305" s="26"/>
      <c r="M305" s="27"/>
    </row>
    <row r="306" spans="8:13" x14ac:dyDescent="0.3">
      <c r="H306" s="50"/>
      <c r="I306" s="50"/>
      <c r="J306" s="26"/>
      <c r="K306" s="26"/>
      <c r="M306" s="27"/>
    </row>
    <row r="307" spans="8:13" x14ac:dyDescent="0.3">
      <c r="H307" s="50"/>
      <c r="I307" s="50"/>
      <c r="J307" s="26"/>
      <c r="K307" s="26"/>
      <c r="M307" s="27"/>
    </row>
    <row r="308" spans="8:13" x14ac:dyDescent="0.3">
      <c r="H308" s="50"/>
      <c r="I308" s="50"/>
      <c r="J308" s="26"/>
      <c r="K308" s="26"/>
      <c r="M308" s="27"/>
    </row>
    <row r="309" spans="8:13" x14ac:dyDescent="0.3">
      <c r="H309" s="50"/>
      <c r="I309" s="50"/>
      <c r="J309" s="26"/>
      <c r="K309" s="26"/>
      <c r="M309" s="27"/>
    </row>
    <row r="310" spans="8:13" x14ac:dyDescent="0.3">
      <c r="H310" s="50"/>
      <c r="I310" s="50"/>
      <c r="J310" s="26"/>
      <c r="K310" s="26"/>
      <c r="M310" s="27"/>
    </row>
    <row r="311" spans="8:13" x14ac:dyDescent="0.3">
      <c r="H311" s="50"/>
      <c r="I311" s="50"/>
      <c r="J311" s="26"/>
      <c r="K311" s="26"/>
      <c r="M311" s="27"/>
    </row>
    <row r="312" spans="8:13" x14ac:dyDescent="0.3">
      <c r="H312" s="50"/>
      <c r="I312" s="50"/>
      <c r="J312" s="26"/>
      <c r="K312" s="26"/>
      <c r="M312" s="27"/>
    </row>
    <row r="313" spans="8:13" x14ac:dyDescent="0.3">
      <c r="H313" s="50"/>
      <c r="I313" s="50"/>
      <c r="J313" s="26"/>
      <c r="K313" s="26"/>
      <c r="M313" s="27"/>
    </row>
    <row r="314" spans="8:13" x14ac:dyDescent="0.3">
      <c r="H314" s="50"/>
      <c r="I314" s="50"/>
      <c r="J314" s="26"/>
      <c r="K314" s="26"/>
      <c r="M314" s="27"/>
    </row>
    <row r="315" spans="8:13" x14ac:dyDescent="0.3">
      <c r="H315" s="50"/>
      <c r="I315" s="50"/>
      <c r="J315" s="26"/>
      <c r="K315" s="26"/>
      <c r="M315" s="27"/>
    </row>
    <row r="316" spans="8:13" x14ac:dyDescent="0.3">
      <c r="H316" s="50"/>
      <c r="I316" s="50"/>
      <c r="J316" s="26"/>
      <c r="K316" s="26"/>
      <c r="M316" s="27"/>
    </row>
    <row r="317" spans="8:13" x14ac:dyDescent="0.3">
      <c r="H317" s="50"/>
      <c r="I317" s="50"/>
      <c r="J317" s="26"/>
      <c r="K317" s="26"/>
      <c r="M317" s="27"/>
    </row>
    <row r="318" spans="8:13" x14ac:dyDescent="0.3">
      <c r="H318" s="50"/>
      <c r="I318" s="50"/>
      <c r="J318" s="26"/>
      <c r="K318" s="26"/>
      <c r="M318" s="27"/>
    </row>
    <row r="319" spans="8:13" x14ac:dyDescent="0.3">
      <c r="H319" s="50"/>
      <c r="I319" s="50"/>
      <c r="J319" s="26"/>
      <c r="K319" s="26"/>
      <c r="M319" s="27"/>
    </row>
    <row r="320" spans="8:13" x14ac:dyDescent="0.3">
      <c r="H320" s="50"/>
      <c r="I320" s="50"/>
      <c r="J320" s="26"/>
      <c r="K320" s="26"/>
      <c r="M320" s="27"/>
    </row>
    <row r="321" spans="8:13" x14ac:dyDescent="0.3">
      <c r="H321" s="50"/>
      <c r="I321" s="50"/>
      <c r="J321" s="26"/>
      <c r="K321" s="26"/>
      <c r="M321" s="27"/>
    </row>
    <row r="322" spans="8:13" x14ac:dyDescent="0.3">
      <c r="H322" s="50"/>
      <c r="I322" s="50"/>
      <c r="J322" s="26"/>
      <c r="K322" s="26"/>
      <c r="M322" s="27"/>
    </row>
    <row r="323" spans="8:13" x14ac:dyDescent="0.3">
      <c r="H323" s="50"/>
      <c r="I323" s="50"/>
      <c r="J323" s="26"/>
      <c r="K323" s="26"/>
      <c r="M323" s="27"/>
    </row>
    <row r="324" spans="8:13" x14ac:dyDescent="0.3">
      <c r="H324" s="50"/>
      <c r="I324" s="50"/>
      <c r="J324" s="26"/>
      <c r="K324" s="26"/>
      <c r="M324" s="27"/>
    </row>
    <row r="325" spans="8:13" x14ac:dyDescent="0.3">
      <c r="H325" s="50"/>
      <c r="I325" s="50"/>
      <c r="J325" s="26"/>
      <c r="K325" s="26"/>
      <c r="M325" s="27"/>
    </row>
    <row r="326" spans="8:13" x14ac:dyDescent="0.3">
      <c r="H326" s="50"/>
      <c r="I326" s="50"/>
      <c r="J326" s="26"/>
      <c r="K326" s="26"/>
      <c r="M326" s="27"/>
    </row>
    <row r="327" spans="8:13" x14ac:dyDescent="0.3">
      <c r="H327" s="50"/>
      <c r="I327" s="50"/>
      <c r="J327" s="26"/>
      <c r="K327" s="26"/>
      <c r="M327" s="27"/>
    </row>
    <row r="328" spans="8:13" x14ac:dyDescent="0.3">
      <c r="H328" s="50"/>
      <c r="I328" s="50"/>
      <c r="J328" s="26"/>
      <c r="K328" s="26"/>
      <c r="M328" s="27"/>
    </row>
    <row r="329" spans="8:13" x14ac:dyDescent="0.3">
      <c r="H329" s="50"/>
      <c r="I329" s="50"/>
      <c r="J329" s="26"/>
      <c r="K329" s="26"/>
      <c r="M329" s="27"/>
    </row>
    <row r="330" spans="8:13" x14ac:dyDescent="0.3">
      <c r="H330" s="50"/>
      <c r="I330" s="50"/>
      <c r="J330" s="26"/>
      <c r="K330" s="26"/>
      <c r="M330" s="27"/>
    </row>
    <row r="331" spans="8:13" x14ac:dyDescent="0.3">
      <c r="H331" s="50"/>
      <c r="I331" s="50"/>
      <c r="J331" s="26"/>
      <c r="K331" s="26"/>
      <c r="M331" s="27"/>
    </row>
    <row r="332" spans="8:13" x14ac:dyDescent="0.3">
      <c r="H332" s="50"/>
      <c r="I332" s="50"/>
      <c r="J332" s="26"/>
      <c r="K332" s="26"/>
      <c r="M332" s="27"/>
    </row>
    <row r="333" spans="8:13" x14ac:dyDescent="0.3">
      <c r="H333" s="50"/>
      <c r="I333" s="50"/>
      <c r="J333" s="26"/>
      <c r="K333" s="26"/>
      <c r="M333" s="27"/>
    </row>
    <row r="334" spans="8:13" x14ac:dyDescent="0.3">
      <c r="H334" s="50"/>
      <c r="I334" s="50"/>
      <c r="J334" s="26"/>
      <c r="K334" s="26"/>
      <c r="M334" s="27"/>
    </row>
    <row r="335" spans="8:13" x14ac:dyDescent="0.3">
      <c r="H335" s="50"/>
      <c r="I335" s="50"/>
      <c r="J335" s="26"/>
      <c r="K335" s="26"/>
      <c r="M335" s="27"/>
    </row>
    <row r="336" spans="8:13" x14ac:dyDescent="0.3">
      <c r="H336" s="50"/>
      <c r="I336" s="50"/>
      <c r="J336" s="26"/>
      <c r="K336" s="26"/>
      <c r="M336" s="27"/>
    </row>
    <row r="337" spans="8:13" x14ac:dyDescent="0.3">
      <c r="H337" s="50"/>
      <c r="I337" s="50"/>
      <c r="J337" s="26"/>
      <c r="K337" s="26"/>
      <c r="M337" s="27"/>
    </row>
    <row r="338" spans="8:13" x14ac:dyDescent="0.3">
      <c r="H338" s="50"/>
      <c r="I338" s="50"/>
      <c r="J338" s="26"/>
      <c r="K338" s="26"/>
      <c r="M338" s="27"/>
    </row>
    <row r="339" spans="8:13" x14ac:dyDescent="0.3">
      <c r="H339" s="50"/>
      <c r="I339" s="50"/>
      <c r="J339" s="26"/>
      <c r="K339" s="26"/>
      <c r="M339" s="27"/>
    </row>
    <row r="340" spans="8:13" x14ac:dyDescent="0.3">
      <c r="H340" s="50"/>
      <c r="I340" s="50"/>
      <c r="J340" s="26"/>
      <c r="K340" s="26"/>
      <c r="M340" s="27"/>
    </row>
    <row r="341" spans="8:13" x14ac:dyDescent="0.3">
      <c r="H341" s="50"/>
      <c r="I341" s="50"/>
      <c r="J341" s="26"/>
      <c r="K341" s="26"/>
      <c r="M341" s="27"/>
    </row>
    <row r="342" spans="8:13" x14ac:dyDescent="0.3">
      <c r="H342" s="50"/>
      <c r="I342" s="50"/>
      <c r="J342" s="26"/>
      <c r="K342" s="26"/>
      <c r="M342" s="27"/>
    </row>
    <row r="343" spans="8:13" x14ac:dyDescent="0.3">
      <c r="H343" s="50"/>
      <c r="I343" s="50"/>
      <c r="J343" s="26"/>
      <c r="K343" s="26"/>
      <c r="M343" s="27"/>
    </row>
    <row r="344" spans="8:13" x14ac:dyDescent="0.3">
      <c r="H344" s="50"/>
      <c r="I344" s="50"/>
      <c r="J344" s="26"/>
      <c r="K344" s="26"/>
      <c r="M344" s="27"/>
    </row>
    <row r="345" spans="8:13" x14ac:dyDescent="0.3">
      <c r="H345" s="50"/>
      <c r="I345" s="50"/>
      <c r="J345" s="26"/>
      <c r="K345" s="26"/>
      <c r="M345" s="27"/>
    </row>
    <row r="346" spans="8:13" x14ac:dyDescent="0.3">
      <c r="H346" s="50"/>
      <c r="I346" s="50"/>
      <c r="J346" s="26"/>
      <c r="K346" s="26"/>
      <c r="M346" s="27"/>
    </row>
    <row r="347" spans="8:13" x14ac:dyDescent="0.3">
      <c r="H347" s="50"/>
      <c r="I347" s="50"/>
      <c r="J347" s="26"/>
      <c r="K347" s="26"/>
      <c r="M347" s="27"/>
    </row>
    <row r="348" spans="8:13" x14ac:dyDescent="0.3">
      <c r="H348" s="50"/>
      <c r="I348" s="50"/>
      <c r="J348" s="26"/>
      <c r="K348" s="26"/>
      <c r="M348" s="27"/>
    </row>
    <row r="349" spans="8:13" x14ac:dyDescent="0.3">
      <c r="H349" s="50"/>
      <c r="I349" s="50"/>
      <c r="J349" s="26"/>
      <c r="K349" s="26"/>
      <c r="M349" s="27"/>
    </row>
    <row r="350" spans="8:13" x14ac:dyDescent="0.3">
      <c r="H350" s="50"/>
      <c r="I350" s="50"/>
      <c r="J350" s="26"/>
      <c r="K350" s="26"/>
      <c r="M350" s="27"/>
    </row>
    <row r="351" spans="8:13" x14ac:dyDescent="0.3">
      <c r="H351" s="50"/>
      <c r="I351" s="50"/>
      <c r="J351" s="26"/>
      <c r="K351" s="26"/>
      <c r="M351" s="27"/>
    </row>
    <row r="352" spans="8:13" x14ac:dyDescent="0.3">
      <c r="H352" s="50"/>
      <c r="I352" s="50"/>
      <c r="J352" s="26"/>
      <c r="K352" s="26"/>
      <c r="M352" s="27"/>
    </row>
    <row r="353" spans="8:13" x14ac:dyDescent="0.3">
      <c r="H353" s="50"/>
      <c r="I353" s="50"/>
      <c r="J353" s="26"/>
      <c r="K353" s="26"/>
      <c r="M353" s="27"/>
    </row>
    <row r="354" spans="8:13" x14ac:dyDescent="0.3">
      <c r="H354" s="50"/>
      <c r="I354" s="50"/>
      <c r="J354" s="26"/>
      <c r="K354" s="26"/>
      <c r="M354" s="27"/>
    </row>
    <row r="355" spans="8:13" x14ac:dyDescent="0.3">
      <c r="H355" s="50"/>
      <c r="I355" s="50"/>
      <c r="J355" s="26"/>
      <c r="K355" s="26"/>
      <c r="M355" s="27"/>
    </row>
    <row r="356" spans="8:13" x14ac:dyDescent="0.3">
      <c r="H356" s="50"/>
      <c r="I356" s="50"/>
      <c r="J356" s="26"/>
      <c r="K356" s="26"/>
      <c r="M356" s="27"/>
    </row>
    <row r="357" spans="8:13" x14ac:dyDescent="0.3">
      <c r="H357" s="50"/>
      <c r="I357" s="50"/>
      <c r="J357" s="26"/>
      <c r="K357" s="26"/>
      <c r="M357" s="27"/>
    </row>
    <row r="358" spans="8:13" x14ac:dyDescent="0.3">
      <c r="H358" s="50"/>
      <c r="I358" s="50"/>
      <c r="J358" s="26"/>
      <c r="K358" s="26"/>
      <c r="M358" s="27"/>
    </row>
    <row r="359" spans="8:13" x14ac:dyDescent="0.3">
      <c r="H359" s="50"/>
      <c r="I359" s="50"/>
      <c r="J359" s="26"/>
      <c r="K359" s="26"/>
      <c r="M359" s="27"/>
    </row>
    <row r="360" spans="8:13" x14ac:dyDescent="0.3">
      <c r="H360" s="50"/>
      <c r="I360" s="50"/>
      <c r="J360" s="26"/>
      <c r="K360" s="26"/>
      <c r="M360" s="27"/>
    </row>
    <row r="361" spans="8:13" x14ac:dyDescent="0.3">
      <c r="H361" s="50"/>
      <c r="I361" s="50"/>
      <c r="J361" s="26"/>
      <c r="K361" s="26"/>
      <c r="M361" s="27"/>
    </row>
    <row r="362" spans="8:13" x14ac:dyDescent="0.3">
      <c r="H362" s="50"/>
      <c r="I362" s="50"/>
      <c r="J362" s="26"/>
      <c r="K362" s="26"/>
      <c r="M362" s="27"/>
    </row>
    <row r="363" spans="8:13" x14ac:dyDescent="0.3">
      <c r="H363" s="50"/>
      <c r="I363" s="50"/>
      <c r="J363" s="26"/>
      <c r="K363" s="26"/>
      <c r="M363" s="27"/>
    </row>
    <row r="364" spans="8:13" x14ac:dyDescent="0.3">
      <c r="H364" s="50"/>
      <c r="I364" s="50"/>
      <c r="J364" s="26"/>
      <c r="K364" s="26"/>
      <c r="M364" s="27"/>
    </row>
    <row r="365" spans="8:13" x14ac:dyDescent="0.3">
      <c r="H365" s="50"/>
      <c r="I365" s="50"/>
      <c r="J365" s="26"/>
      <c r="K365" s="26"/>
      <c r="M365" s="27"/>
    </row>
    <row r="366" spans="8:13" x14ac:dyDescent="0.3">
      <c r="H366" s="50"/>
      <c r="I366" s="50"/>
      <c r="J366" s="26"/>
      <c r="K366" s="26"/>
      <c r="M366" s="27"/>
    </row>
    <row r="367" spans="8:13" x14ac:dyDescent="0.3">
      <c r="H367" s="50"/>
      <c r="I367" s="50"/>
      <c r="J367" s="26"/>
      <c r="K367" s="26"/>
      <c r="M367" s="27"/>
    </row>
    <row r="368" spans="8:13" x14ac:dyDescent="0.3">
      <c r="H368" s="50"/>
      <c r="I368" s="50"/>
      <c r="J368" s="26"/>
      <c r="K368" s="26"/>
      <c r="M368" s="27"/>
    </row>
    <row r="369" spans="8:13" x14ac:dyDescent="0.3">
      <c r="H369" s="50"/>
      <c r="I369" s="50"/>
      <c r="J369" s="26"/>
      <c r="K369" s="26"/>
      <c r="M369" s="27"/>
    </row>
    <row r="370" spans="8:13" x14ac:dyDescent="0.3">
      <c r="H370" s="50"/>
      <c r="I370" s="50"/>
      <c r="J370" s="26"/>
      <c r="K370" s="26"/>
      <c r="M370" s="27"/>
    </row>
    <row r="371" spans="8:13" x14ac:dyDescent="0.3">
      <c r="H371" s="50"/>
      <c r="I371" s="50"/>
      <c r="J371" s="26"/>
      <c r="K371" s="26"/>
      <c r="M371" s="27"/>
    </row>
    <row r="372" spans="8:13" x14ac:dyDescent="0.3">
      <c r="H372" s="50"/>
      <c r="I372" s="50"/>
      <c r="J372" s="26"/>
      <c r="K372" s="26"/>
      <c r="M372" s="27"/>
    </row>
    <row r="373" spans="8:13" x14ac:dyDescent="0.3">
      <c r="H373" s="50"/>
      <c r="I373" s="50"/>
      <c r="J373" s="26"/>
      <c r="K373" s="26"/>
      <c r="M373" s="27"/>
    </row>
    <row r="374" spans="8:13" x14ac:dyDescent="0.3">
      <c r="H374" s="50"/>
      <c r="I374" s="50"/>
      <c r="J374" s="26"/>
      <c r="K374" s="26"/>
      <c r="M374" s="27"/>
    </row>
    <row r="375" spans="8:13" x14ac:dyDescent="0.3">
      <c r="H375" s="50"/>
      <c r="I375" s="50"/>
      <c r="J375" s="26"/>
      <c r="K375" s="26"/>
      <c r="M375" s="27"/>
    </row>
    <row r="376" spans="8:13" x14ac:dyDescent="0.3">
      <c r="H376" s="50"/>
      <c r="I376" s="50"/>
      <c r="J376" s="26"/>
      <c r="K376" s="26"/>
      <c r="M376" s="27"/>
    </row>
    <row r="377" spans="8:13" x14ac:dyDescent="0.3">
      <c r="H377" s="50"/>
      <c r="I377" s="50"/>
      <c r="J377" s="26"/>
      <c r="K377" s="26"/>
      <c r="M377" s="27"/>
    </row>
    <row r="378" spans="8:13" x14ac:dyDescent="0.3">
      <c r="H378" s="50"/>
      <c r="I378" s="50"/>
      <c r="J378" s="26"/>
      <c r="K378" s="26"/>
      <c r="M378" s="27"/>
    </row>
    <row r="379" spans="8:13" x14ac:dyDescent="0.3">
      <c r="H379" s="50"/>
      <c r="I379" s="50"/>
      <c r="J379" s="26"/>
      <c r="K379" s="26"/>
      <c r="M379" s="27"/>
    </row>
    <row r="380" spans="8:13" x14ac:dyDescent="0.3">
      <c r="H380" s="50"/>
      <c r="I380" s="50"/>
      <c r="J380" s="26"/>
      <c r="K380" s="26"/>
      <c r="M380" s="27"/>
    </row>
    <row r="381" spans="8:13" x14ac:dyDescent="0.3">
      <c r="H381" s="50"/>
      <c r="I381" s="50"/>
      <c r="J381" s="26"/>
      <c r="K381" s="26"/>
      <c r="M381" s="27"/>
    </row>
    <row r="382" spans="8:13" x14ac:dyDescent="0.3">
      <c r="H382" s="50"/>
      <c r="I382" s="50"/>
      <c r="J382" s="26"/>
      <c r="K382" s="26"/>
      <c r="M382" s="27"/>
    </row>
    <row r="383" spans="8:13" x14ac:dyDescent="0.3">
      <c r="H383" s="50"/>
      <c r="I383" s="50"/>
      <c r="J383" s="26"/>
      <c r="K383" s="26"/>
      <c r="M383" s="27"/>
    </row>
    <row r="384" spans="8:13" x14ac:dyDescent="0.3">
      <c r="H384" s="50"/>
      <c r="I384" s="50"/>
      <c r="J384" s="26"/>
      <c r="K384" s="26"/>
      <c r="M384" s="27"/>
    </row>
    <row r="385" spans="8:13" x14ac:dyDescent="0.3">
      <c r="H385" s="50"/>
      <c r="I385" s="50"/>
      <c r="J385" s="26"/>
      <c r="K385" s="26"/>
      <c r="M385" s="27"/>
    </row>
    <row r="386" spans="8:13" x14ac:dyDescent="0.3">
      <c r="H386" s="50"/>
      <c r="I386" s="50"/>
      <c r="J386" s="26"/>
      <c r="K386" s="26"/>
      <c r="M386" s="27"/>
    </row>
    <row r="387" spans="8:13" x14ac:dyDescent="0.3">
      <c r="H387" s="50"/>
      <c r="I387" s="50"/>
      <c r="J387" s="26"/>
      <c r="K387" s="26"/>
      <c r="M387" s="27"/>
    </row>
    <row r="388" spans="8:13" x14ac:dyDescent="0.3">
      <c r="H388" s="50"/>
      <c r="I388" s="50"/>
      <c r="J388" s="26"/>
      <c r="K388" s="26"/>
      <c r="M388" s="27"/>
    </row>
    <row r="389" spans="8:13" x14ac:dyDescent="0.3">
      <c r="H389" s="50"/>
      <c r="I389" s="50"/>
      <c r="J389" s="26"/>
      <c r="K389" s="26"/>
      <c r="M389" s="27"/>
    </row>
    <row r="390" spans="8:13" x14ac:dyDescent="0.3">
      <c r="H390" s="50"/>
      <c r="I390" s="50"/>
      <c r="J390" s="26"/>
      <c r="K390" s="26"/>
      <c r="M390" s="27"/>
    </row>
    <row r="391" spans="8:13" x14ac:dyDescent="0.3">
      <c r="H391" s="50"/>
      <c r="I391" s="50"/>
      <c r="J391" s="26"/>
      <c r="K391" s="26"/>
      <c r="M391" s="27"/>
    </row>
    <row r="392" spans="8:13" x14ac:dyDescent="0.3">
      <c r="H392" s="50"/>
      <c r="I392" s="50"/>
      <c r="J392" s="26"/>
      <c r="K392" s="26"/>
      <c r="M392" s="27"/>
    </row>
    <row r="393" spans="8:13" x14ac:dyDescent="0.3">
      <c r="H393" s="50"/>
      <c r="I393" s="50"/>
      <c r="J393" s="26"/>
      <c r="K393" s="26"/>
      <c r="M393" s="27"/>
    </row>
    <row r="394" spans="8:13" x14ac:dyDescent="0.3">
      <c r="H394" s="50"/>
      <c r="I394" s="50"/>
      <c r="J394" s="26"/>
      <c r="K394" s="26"/>
      <c r="M394" s="27"/>
    </row>
    <row r="395" spans="8:13" x14ac:dyDescent="0.3">
      <c r="H395" s="50"/>
      <c r="I395" s="50"/>
      <c r="J395" s="26"/>
      <c r="K395" s="26"/>
      <c r="M395" s="27"/>
    </row>
    <row r="396" spans="8:13" x14ac:dyDescent="0.3">
      <c r="H396" s="50"/>
      <c r="I396" s="50"/>
      <c r="J396" s="26"/>
      <c r="K396" s="26"/>
      <c r="M396" s="27"/>
    </row>
    <row r="397" spans="8:13" x14ac:dyDescent="0.3">
      <c r="H397" s="50"/>
      <c r="I397" s="50"/>
      <c r="J397" s="26"/>
      <c r="K397" s="26"/>
      <c r="M397" s="27"/>
    </row>
    <row r="398" spans="8:13" x14ac:dyDescent="0.3">
      <c r="H398" s="50"/>
      <c r="I398" s="50"/>
      <c r="J398" s="26"/>
      <c r="K398" s="26"/>
      <c r="M398" s="27"/>
    </row>
    <row r="399" spans="8:13" x14ac:dyDescent="0.3">
      <c r="H399" s="50"/>
      <c r="I399" s="50"/>
      <c r="J399" s="26"/>
      <c r="K399" s="26"/>
      <c r="M399" s="27"/>
    </row>
    <row r="400" spans="8:13" x14ac:dyDescent="0.3">
      <c r="H400" s="50"/>
      <c r="I400" s="50"/>
      <c r="J400" s="26"/>
      <c r="K400" s="26"/>
      <c r="M400" s="27"/>
    </row>
    <row r="401" spans="8:13" x14ac:dyDescent="0.3">
      <c r="H401" s="50"/>
      <c r="I401" s="50"/>
      <c r="J401" s="26"/>
      <c r="K401" s="26"/>
      <c r="M401" s="27"/>
    </row>
    <row r="402" spans="8:13" x14ac:dyDescent="0.3">
      <c r="H402" s="50"/>
      <c r="I402" s="50"/>
      <c r="J402" s="26"/>
      <c r="K402" s="26"/>
      <c r="M402" s="27"/>
    </row>
    <row r="403" spans="8:13" x14ac:dyDescent="0.3">
      <c r="H403" s="50"/>
      <c r="I403" s="50"/>
      <c r="J403" s="26"/>
      <c r="K403" s="26"/>
      <c r="M403" s="27"/>
    </row>
    <row r="404" spans="8:13" x14ac:dyDescent="0.3">
      <c r="H404" s="50"/>
      <c r="I404" s="50"/>
      <c r="J404" s="26"/>
      <c r="K404" s="26"/>
      <c r="M404" s="27"/>
    </row>
    <row r="405" spans="8:13" x14ac:dyDescent="0.3">
      <c r="H405" s="50"/>
      <c r="I405" s="50"/>
      <c r="J405" s="26"/>
      <c r="K405" s="26"/>
      <c r="M405" s="27"/>
    </row>
    <row r="406" spans="8:13" x14ac:dyDescent="0.3">
      <c r="H406" s="50"/>
      <c r="I406" s="50"/>
      <c r="J406" s="26"/>
      <c r="K406" s="26"/>
      <c r="M406" s="27"/>
    </row>
    <row r="407" spans="8:13" x14ac:dyDescent="0.3">
      <c r="H407" s="50"/>
      <c r="I407" s="50"/>
      <c r="J407" s="26"/>
      <c r="K407" s="26"/>
      <c r="M407" s="27"/>
    </row>
    <row r="408" spans="8:13" x14ac:dyDescent="0.3">
      <c r="H408" s="50"/>
      <c r="I408" s="50"/>
      <c r="J408" s="26"/>
      <c r="K408" s="26"/>
      <c r="M408" s="27"/>
    </row>
    <row r="409" spans="8:13" x14ac:dyDescent="0.3">
      <c r="H409" s="50"/>
      <c r="I409" s="50"/>
      <c r="J409" s="26"/>
      <c r="K409" s="26"/>
      <c r="M409" s="27"/>
    </row>
    <row r="410" spans="8:13" x14ac:dyDescent="0.3">
      <c r="H410" s="50"/>
      <c r="I410" s="50"/>
      <c r="J410" s="26"/>
      <c r="K410" s="26"/>
      <c r="M410" s="27"/>
    </row>
    <row r="411" spans="8:13" x14ac:dyDescent="0.3">
      <c r="H411" s="50"/>
      <c r="I411" s="50"/>
      <c r="J411" s="26"/>
      <c r="K411" s="26"/>
      <c r="M411" s="27"/>
    </row>
    <row r="412" spans="8:13" x14ac:dyDescent="0.3">
      <c r="H412" s="50"/>
      <c r="I412" s="50"/>
      <c r="J412" s="26"/>
      <c r="K412" s="26"/>
      <c r="M412" s="27"/>
    </row>
    <row r="413" spans="8:13" x14ac:dyDescent="0.3">
      <c r="H413" s="50"/>
      <c r="I413" s="50"/>
      <c r="J413" s="26"/>
      <c r="K413" s="26"/>
      <c r="M413" s="27"/>
    </row>
    <row r="414" spans="8:13" x14ac:dyDescent="0.3">
      <c r="H414" s="50"/>
      <c r="I414" s="50"/>
      <c r="J414" s="26"/>
      <c r="K414" s="26"/>
      <c r="M414" s="27"/>
    </row>
    <row r="415" spans="8:13" x14ac:dyDescent="0.3">
      <c r="H415" s="50"/>
      <c r="I415" s="50"/>
      <c r="J415" s="26"/>
      <c r="K415" s="26"/>
      <c r="M415" s="27"/>
    </row>
    <row r="416" spans="8:13" x14ac:dyDescent="0.3">
      <c r="H416" s="50"/>
      <c r="I416" s="50"/>
      <c r="J416" s="26"/>
      <c r="K416" s="26"/>
      <c r="M416" s="27"/>
    </row>
    <row r="417" spans="8:13" x14ac:dyDescent="0.3">
      <c r="H417" s="50"/>
      <c r="I417" s="50"/>
      <c r="J417" s="26"/>
      <c r="K417" s="26"/>
      <c r="M417" s="27"/>
    </row>
    <row r="418" spans="8:13" x14ac:dyDescent="0.3">
      <c r="H418" s="50"/>
      <c r="I418" s="50"/>
      <c r="J418" s="26"/>
      <c r="K418" s="26"/>
      <c r="M418" s="27"/>
    </row>
    <row r="419" spans="8:13" x14ac:dyDescent="0.3">
      <c r="H419" s="50"/>
      <c r="I419" s="50"/>
      <c r="J419" s="26"/>
      <c r="K419" s="26"/>
      <c r="M419" s="27"/>
    </row>
    <row r="420" spans="8:13" x14ac:dyDescent="0.3">
      <c r="H420" s="50"/>
      <c r="I420" s="50"/>
      <c r="J420" s="26"/>
      <c r="K420" s="26"/>
      <c r="M420" s="27"/>
    </row>
    <row r="421" spans="8:13" x14ac:dyDescent="0.3">
      <c r="H421" s="50"/>
      <c r="I421" s="50"/>
      <c r="J421" s="26"/>
      <c r="K421" s="26"/>
      <c r="M421" s="27"/>
    </row>
    <row r="422" spans="8:13" x14ac:dyDescent="0.3">
      <c r="H422" s="50"/>
      <c r="I422" s="50"/>
      <c r="J422" s="26"/>
      <c r="K422" s="26"/>
      <c r="M422" s="27"/>
    </row>
    <row r="423" spans="8:13" x14ac:dyDescent="0.3">
      <c r="H423" s="50"/>
      <c r="I423" s="50"/>
      <c r="J423" s="26"/>
      <c r="K423" s="26"/>
      <c r="M423" s="27"/>
    </row>
    <row r="424" spans="8:13" x14ac:dyDescent="0.3">
      <c r="H424" s="50"/>
      <c r="I424" s="50"/>
      <c r="J424" s="26"/>
      <c r="K424" s="26"/>
      <c r="M424" s="27"/>
    </row>
    <row r="425" spans="8:13" x14ac:dyDescent="0.3">
      <c r="H425" s="50"/>
      <c r="I425" s="50"/>
      <c r="J425" s="26"/>
      <c r="K425" s="26"/>
      <c r="M425" s="27"/>
    </row>
    <row r="426" spans="8:13" x14ac:dyDescent="0.3">
      <c r="H426" s="50"/>
      <c r="I426" s="50"/>
      <c r="J426" s="26"/>
      <c r="K426" s="26"/>
      <c r="M426" s="27"/>
    </row>
    <row r="427" spans="8:13" x14ac:dyDescent="0.3">
      <c r="H427" s="50"/>
      <c r="I427" s="50"/>
      <c r="J427" s="26"/>
      <c r="K427" s="26"/>
      <c r="M427" s="27"/>
    </row>
    <row r="428" spans="8:13" x14ac:dyDescent="0.3">
      <c r="H428" s="50"/>
      <c r="I428" s="50"/>
      <c r="J428" s="26"/>
      <c r="K428" s="26"/>
      <c r="M428" s="27"/>
    </row>
    <row r="429" spans="8:13" x14ac:dyDescent="0.3">
      <c r="H429" s="50"/>
      <c r="I429" s="50"/>
      <c r="J429" s="26"/>
      <c r="K429" s="26"/>
      <c r="M429" s="27"/>
    </row>
    <row r="430" spans="8:13" x14ac:dyDescent="0.3">
      <c r="H430" s="50"/>
      <c r="I430" s="50"/>
      <c r="J430" s="26"/>
      <c r="K430" s="26"/>
      <c r="M430" s="27"/>
    </row>
    <row r="431" spans="8:13" x14ac:dyDescent="0.3">
      <c r="H431" s="50"/>
      <c r="I431" s="50"/>
      <c r="J431" s="26"/>
      <c r="K431" s="26"/>
      <c r="M431" s="27"/>
    </row>
    <row r="432" spans="8:13" x14ac:dyDescent="0.3">
      <c r="H432" s="50"/>
      <c r="I432" s="50"/>
      <c r="J432" s="26"/>
      <c r="K432" s="26"/>
      <c r="M432" s="27"/>
    </row>
    <row r="433" spans="8:13" x14ac:dyDescent="0.3">
      <c r="H433" s="50"/>
      <c r="I433" s="50"/>
      <c r="J433" s="26"/>
      <c r="K433" s="26"/>
      <c r="M433" s="27"/>
    </row>
    <row r="434" spans="8:13" x14ac:dyDescent="0.3">
      <c r="H434" s="50"/>
      <c r="I434" s="50"/>
      <c r="J434" s="26"/>
      <c r="K434" s="26"/>
      <c r="M434" s="27"/>
    </row>
    <row r="435" spans="8:13" x14ac:dyDescent="0.3">
      <c r="H435" s="50"/>
      <c r="I435" s="50"/>
      <c r="J435" s="26"/>
      <c r="K435" s="26"/>
      <c r="M435" s="27"/>
    </row>
    <row r="436" spans="8:13" x14ac:dyDescent="0.3">
      <c r="H436" s="50"/>
      <c r="I436" s="50"/>
      <c r="J436" s="26"/>
      <c r="K436" s="26"/>
      <c r="M436" s="27"/>
    </row>
    <row r="437" spans="8:13" x14ac:dyDescent="0.3">
      <c r="H437" s="50"/>
      <c r="I437" s="50"/>
      <c r="J437" s="26"/>
      <c r="K437" s="26"/>
      <c r="M437" s="27"/>
    </row>
    <row r="438" spans="8:13" x14ac:dyDescent="0.3">
      <c r="H438" s="50"/>
      <c r="I438" s="50"/>
      <c r="J438" s="26"/>
      <c r="K438" s="26"/>
      <c r="M438" s="27"/>
    </row>
    <row r="439" spans="8:13" x14ac:dyDescent="0.3">
      <c r="H439" s="50"/>
      <c r="I439" s="50"/>
      <c r="J439" s="26"/>
      <c r="K439" s="26"/>
      <c r="M439" s="27"/>
    </row>
    <row r="440" spans="8:13" x14ac:dyDescent="0.3">
      <c r="H440" s="50"/>
      <c r="I440" s="50"/>
      <c r="J440" s="26"/>
      <c r="K440" s="26"/>
      <c r="M440" s="27"/>
    </row>
    <row r="441" spans="8:13" x14ac:dyDescent="0.3">
      <c r="H441" s="50"/>
      <c r="I441" s="50"/>
      <c r="J441" s="26"/>
      <c r="K441" s="26"/>
      <c r="M441" s="27"/>
    </row>
    <row r="442" spans="8:13" x14ac:dyDescent="0.3">
      <c r="H442" s="50"/>
      <c r="I442" s="50"/>
      <c r="J442" s="26"/>
      <c r="K442" s="26"/>
      <c r="M442" s="27"/>
    </row>
    <row r="443" spans="8:13" x14ac:dyDescent="0.3">
      <c r="H443" s="50"/>
      <c r="I443" s="50"/>
      <c r="J443" s="26"/>
      <c r="K443" s="26"/>
      <c r="M443" s="27"/>
    </row>
    <row r="444" spans="8:13" x14ac:dyDescent="0.3">
      <c r="H444" s="50"/>
      <c r="I444" s="50"/>
      <c r="J444" s="26"/>
      <c r="K444" s="26"/>
      <c r="M444" s="27"/>
    </row>
    <row r="445" spans="8:13" x14ac:dyDescent="0.3">
      <c r="H445" s="50"/>
      <c r="I445" s="50"/>
      <c r="J445" s="26"/>
      <c r="K445" s="26"/>
      <c r="M445" s="27"/>
    </row>
    <row r="446" spans="8:13" x14ac:dyDescent="0.3">
      <c r="H446" s="50"/>
      <c r="I446" s="50"/>
      <c r="J446" s="26"/>
      <c r="K446" s="26"/>
      <c r="M446" s="27"/>
    </row>
    <row r="447" spans="8:13" x14ac:dyDescent="0.3">
      <c r="H447" s="50"/>
      <c r="I447" s="50"/>
      <c r="J447" s="26"/>
      <c r="K447" s="26"/>
      <c r="M447" s="27"/>
    </row>
    <row r="448" spans="8:13" x14ac:dyDescent="0.3">
      <c r="H448" s="50"/>
      <c r="I448" s="50"/>
      <c r="J448" s="26"/>
      <c r="K448" s="26"/>
      <c r="M448" s="27"/>
    </row>
    <row r="449" spans="8:13" x14ac:dyDescent="0.3">
      <c r="H449" s="50"/>
      <c r="I449" s="50"/>
      <c r="J449" s="26"/>
      <c r="K449" s="26"/>
      <c r="M449" s="27"/>
    </row>
    <row r="450" spans="8:13" x14ac:dyDescent="0.3">
      <c r="H450" s="50"/>
      <c r="I450" s="50"/>
      <c r="J450" s="26"/>
      <c r="K450" s="26"/>
      <c r="M450" s="27"/>
    </row>
    <row r="451" spans="8:13" x14ac:dyDescent="0.3">
      <c r="H451" s="50"/>
      <c r="I451" s="50"/>
      <c r="J451" s="26"/>
      <c r="K451" s="26"/>
      <c r="M451" s="27"/>
    </row>
    <row r="452" spans="8:13" x14ac:dyDescent="0.3">
      <c r="H452" s="50"/>
      <c r="I452" s="50"/>
      <c r="J452" s="26"/>
      <c r="K452" s="26"/>
      <c r="M452" s="27"/>
    </row>
    <row r="453" spans="8:13" x14ac:dyDescent="0.3">
      <c r="H453" s="50"/>
      <c r="I453" s="50"/>
      <c r="J453" s="26"/>
      <c r="K453" s="26"/>
      <c r="M453" s="27"/>
    </row>
    <row r="454" spans="8:13" x14ac:dyDescent="0.3">
      <c r="H454" s="50"/>
      <c r="I454" s="50"/>
      <c r="J454" s="26"/>
      <c r="K454" s="26"/>
      <c r="M454" s="27"/>
    </row>
    <row r="455" spans="8:13" x14ac:dyDescent="0.3">
      <c r="H455" s="50"/>
      <c r="I455" s="50"/>
      <c r="J455" s="26"/>
      <c r="K455" s="26"/>
      <c r="M455" s="27"/>
    </row>
    <row r="456" spans="8:13" x14ac:dyDescent="0.3">
      <c r="H456" s="50"/>
      <c r="I456" s="50"/>
      <c r="J456" s="26"/>
      <c r="K456" s="26"/>
      <c r="M456" s="27"/>
    </row>
    <row r="457" spans="8:13" x14ac:dyDescent="0.3">
      <c r="H457" s="50"/>
      <c r="I457" s="50"/>
      <c r="J457" s="26"/>
      <c r="K457" s="26"/>
      <c r="M457" s="27"/>
    </row>
    <row r="458" spans="8:13" x14ac:dyDescent="0.3">
      <c r="H458" s="50"/>
      <c r="I458" s="50"/>
      <c r="J458" s="26"/>
      <c r="K458" s="26"/>
      <c r="M458" s="27"/>
    </row>
    <row r="459" spans="8:13" x14ac:dyDescent="0.3">
      <c r="H459" s="50"/>
      <c r="I459" s="50"/>
      <c r="J459" s="26"/>
      <c r="K459" s="26"/>
      <c r="M459" s="27"/>
    </row>
    <row r="460" spans="8:13" x14ac:dyDescent="0.3">
      <c r="H460" s="50"/>
      <c r="I460" s="50"/>
      <c r="J460" s="26"/>
      <c r="K460" s="26"/>
      <c r="M460" s="27"/>
    </row>
    <row r="461" spans="8:13" x14ac:dyDescent="0.3">
      <c r="H461" s="50"/>
      <c r="I461" s="50"/>
      <c r="J461" s="26"/>
      <c r="K461" s="26"/>
      <c r="M461" s="27"/>
    </row>
    <row r="462" spans="8:13" x14ac:dyDescent="0.3">
      <c r="H462" s="50"/>
      <c r="I462" s="50"/>
      <c r="J462" s="26"/>
      <c r="K462" s="26"/>
      <c r="M462" s="27"/>
    </row>
    <row r="463" spans="8:13" x14ac:dyDescent="0.3">
      <c r="H463" s="50"/>
      <c r="I463" s="50"/>
      <c r="J463" s="26"/>
      <c r="K463" s="26"/>
      <c r="M463" s="27"/>
    </row>
    <row r="464" spans="8:13" x14ac:dyDescent="0.3">
      <c r="H464" s="50"/>
      <c r="I464" s="50"/>
      <c r="J464" s="26"/>
      <c r="K464" s="26"/>
      <c r="M464" s="27"/>
    </row>
    <row r="465" spans="8:13" x14ac:dyDescent="0.3">
      <c r="H465" s="50"/>
      <c r="I465" s="50"/>
      <c r="J465" s="26"/>
      <c r="K465" s="26"/>
      <c r="M465" s="27"/>
    </row>
    <row r="466" spans="8:13" x14ac:dyDescent="0.3">
      <c r="H466" s="50"/>
      <c r="I466" s="50"/>
      <c r="J466" s="26"/>
      <c r="K466" s="26"/>
      <c r="M466" s="27"/>
    </row>
    <row r="467" spans="8:13" x14ac:dyDescent="0.3">
      <c r="H467" s="50"/>
      <c r="I467" s="50"/>
      <c r="J467" s="26"/>
      <c r="K467" s="26"/>
      <c r="M467" s="27"/>
    </row>
    <row r="468" spans="8:13" x14ac:dyDescent="0.3">
      <c r="H468" s="50"/>
      <c r="I468" s="50"/>
      <c r="J468" s="26"/>
      <c r="K468" s="26"/>
      <c r="M468" s="27"/>
    </row>
    <row r="469" spans="8:13" x14ac:dyDescent="0.3">
      <c r="H469" s="50"/>
      <c r="I469" s="50"/>
      <c r="J469" s="26"/>
      <c r="K469" s="26"/>
      <c r="M469" s="27"/>
    </row>
    <row r="470" spans="8:13" x14ac:dyDescent="0.3">
      <c r="H470" s="50"/>
      <c r="I470" s="50"/>
      <c r="J470" s="26"/>
      <c r="K470" s="26"/>
      <c r="M470" s="27"/>
    </row>
    <row r="471" spans="8:13" x14ac:dyDescent="0.3">
      <c r="H471" s="50"/>
      <c r="I471" s="50"/>
      <c r="J471" s="26"/>
      <c r="K471" s="26"/>
      <c r="M471" s="27"/>
    </row>
    <row r="472" spans="8:13" x14ac:dyDescent="0.3">
      <c r="H472" s="50"/>
      <c r="I472" s="50"/>
      <c r="J472" s="26"/>
      <c r="K472" s="26"/>
      <c r="M472" s="27"/>
    </row>
    <row r="473" spans="8:13" x14ac:dyDescent="0.3">
      <c r="H473" s="50"/>
      <c r="I473" s="50"/>
      <c r="J473" s="26"/>
      <c r="K473" s="26"/>
      <c r="M473" s="27"/>
    </row>
    <row r="474" spans="8:13" x14ac:dyDescent="0.3">
      <c r="H474" s="50"/>
      <c r="I474" s="50"/>
      <c r="J474" s="26"/>
      <c r="K474" s="26"/>
      <c r="M474" s="27"/>
    </row>
    <row r="475" spans="8:13" x14ac:dyDescent="0.3">
      <c r="H475" s="50"/>
      <c r="I475" s="50"/>
      <c r="J475" s="26"/>
      <c r="K475" s="26"/>
      <c r="M475" s="27"/>
    </row>
    <row r="476" spans="8:13" x14ac:dyDescent="0.3">
      <c r="H476" s="50"/>
      <c r="I476" s="50"/>
      <c r="J476" s="26"/>
      <c r="K476" s="26"/>
      <c r="M476" s="27"/>
    </row>
    <row r="477" spans="8:13" x14ac:dyDescent="0.3">
      <c r="H477" s="50"/>
      <c r="I477" s="50"/>
      <c r="J477" s="26"/>
      <c r="K477" s="26"/>
      <c r="M477" s="27"/>
    </row>
    <row r="478" spans="8:13" x14ac:dyDescent="0.3">
      <c r="H478" s="50"/>
      <c r="I478" s="50"/>
      <c r="J478" s="26"/>
      <c r="K478" s="26"/>
      <c r="M478" s="27"/>
    </row>
    <row r="479" spans="8:13" x14ac:dyDescent="0.3">
      <c r="H479" s="50"/>
      <c r="I479" s="50"/>
      <c r="J479" s="26"/>
      <c r="K479" s="26"/>
      <c r="M479" s="27"/>
    </row>
    <row r="480" spans="8:13" x14ac:dyDescent="0.3">
      <c r="H480" s="50"/>
      <c r="I480" s="50"/>
      <c r="J480" s="26"/>
      <c r="K480" s="26"/>
      <c r="M480" s="27"/>
    </row>
    <row r="481" spans="8:13" x14ac:dyDescent="0.3">
      <c r="H481" s="50"/>
      <c r="I481" s="50"/>
      <c r="J481" s="26"/>
      <c r="K481" s="26"/>
      <c r="M481" s="27"/>
    </row>
    <row r="482" spans="8:13" x14ac:dyDescent="0.3">
      <c r="H482" s="50"/>
      <c r="I482" s="50"/>
      <c r="J482" s="26"/>
      <c r="K482" s="26"/>
      <c r="M482" s="27"/>
    </row>
    <row r="483" spans="8:13" x14ac:dyDescent="0.3">
      <c r="H483" s="50"/>
      <c r="I483" s="50"/>
      <c r="J483" s="26"/>
      <c r="K483" s="26"/>
      <c r="M483" s="27"/>
    </row>
    <row r="484" spans="8:13" x14ac:dyDescent="0.3">
      <c r="H484" s="50"/>
      <c r="I484" s="50"/>
      <c r="J484" s="26"/>
      <c r="K484" s="26"/>
      <c r="M484" s="27"/>
    </row>
    <row r="485" spans="8:13" x14ac:dyDescent="0.3">
      <c r="H485" s="50"/>
      <c r="I485" s="50"/>
      <c r="J485" s="26"/>
      <c r="K485" s="26"/>
      <c r="M485" s="27"/>
    </row>
    <row r="486" spans="8:13" x14ac:dyDescent="0.3">
      <c r="H486" s="50"/>
      <c r="I486" s="50"/>
      <c r="J486" s="26"/>
      <c r="K486" s="26"/>
      <c r="M486" s="27"/>
    </row>
    <row r="487" spans="8:13" x14ac:dyDescent="0.3">
      <c r="H487" s="50"/>
      <c r="I487" s="50"/>
      <c r="J487" s="26"/>
      <c r="K487" s="26"/>
      <c r="M487" s="27"/>
    </row>
    <row r="488" spans="8:13" x14ac:dyDescent="0.3">
      <c r="H488" s="50"/>
      <c r="I488" s="50"/>
      <c r="J488" s="26"/>
      <c r="K488" s="26"/>
      <c r="M488" s="27"/>
    </row>
    <row r="489" spans="8:13" x14ac:dyDescent="0.3">
      <c r="H489" s="50"/>
      <c r="I489" s="50"/>
      <c r="J489" s="26"/>
      <c r="K489" s="26"/>
      <c r="M489" s="27"/>
    </row>
    <row r="490" spans="8:13" x14ac:dyDescent="0.3">
      <c r="H490" s="50"/>
      <c r="I490" s="50"/>
      <c r="J490" s="26"/>
      <c r="K490" s="26"/>
      <c r="M490" s="27"/>
    </row>
    <row r="491" spans="8:13" x14ac:dyDescent="0.3">
      <c r="H491" s="50"/>
      <c r="I491" s="50"/>
      <c r="J491" s="26"/>
      <c r="K491" s="26"/>
      <c r="M491" s="27"/>
    </row>
    <row r="492" spans="8:13" x14ac:dyDescent="0.3">
      <c r="H492" s="50"/>
      <c r="I492" s="50"/>
      <c r="J492" s="26"/>
      <c r="K492" s="26"/>
      <c r="M492" s="27"/>
    </row>
    <row r="493" spans="8:13" x14ac:dyDescent="0.3">
      <c r="H493" s="50"/>
      <c r="I493" s="50"/>
      <c r="J493" s="26"/>
      <c r="K493" s="26"/>
      <c r="M493" s="27"/>
    </row>
    <row r="494" spans="8:13" x14ac:dyDescent="0.3">
      <c r="H494" s="50"/>
      <c r="I494" s="50"/>
      <c r="J494" s="26"/>
      <c r="K494" s="26"/>
      <c r="M494" s="27"/>
    </row>
    <row r="495" spans="8:13" x14ac:dyDescent="0.3">
      <c r="H495" s="50"/>
      <c r="I495" s="50"/>
      <c r="J495" s="26"/>
      <c r="K495" s="26"/>
      <c r="M495" s="27"/>
    </row>
    <row r="496" spans="8:13" x14ac:dyDescent="0.3">
      <c r="H496" s="50"/>
      <c r="I496" s="50"/>
      <c r="J496" s="26"/>
      <c r="K496" s="26"/>
      <c r="M496" s="27"/>
    </row>
    <row r="497" spans="8:13" x14ac:dyDescent="0.3">
      <c r="H497" s="50"/>
      <c r="I497" s="50"/>
      <c r="J497" s="26"/>
      <c r="K497" s="26"/>
      <c r="M497" s="27"/>
    </row>
    <row r="498" spans="8:13" x14ac:dyDescent="0.3">
      <c r="H498" s="50"/>
      <c r="I498" s="50"/>
      <c r="J498" s="26"/>
      <c r="K498" s="26"/>
      <c r="M498" s="27"/>
    </row>
    <row r="499" spans="8:13" x14ac:dyDescent="0.3">
      <c r="H499" s="50"/>
      <c r="I499" s="50"/>
      <c r="J499" s="26"/>
      <c r="K499" s="26"/>
      <c r="M499" s="27"/>
    </row>
    <row r="500" spans="8:13" x14ac:dyDescent="0.3">
      <c r="H500" s="50"/>
      <c r="I500" s="50"/>
      <c r="J500" s="26"/>
      <c r="K500" s="26"/>
      <c r="M500" s="27"/>
    </row>
    <row r="501" spans="8:13" x14ac:dyDescent="0.3">
      <c r="H501" s="50"/>
      <c r="I501" s="50"/>
      <c r="J501" s="26"/>
      <c r="K501" s="26"/>
      <c r="M501" s="27"/>
    </row>
    <row r="502" spans="8:13" x14ac:dyDescent="0.3">
      <c r="H502" s="50"/>
      <c r="I502" s="50"/>
      <c r="J502" s="26"/>
      <c r="K502" s="26"/>
      <c r="M502" s="27"/>
    </row>
    <row r="503" spans="8:13" x14ac:dyDescent="0.3">
      <c r="H503" s="50"/>
      <c r="I503" s="50"/>
      <c r="J503" s="26"/>
      <c r="K503" s="26"/>
      <c r="M503" s="27"/>
    </row>
    <row r="504" spans="8:13" x14ac:dyDescent="0.3">
      <c r="H504" s="50"/>
      <c r="I504" s="50"/>
      <c r="J504" s="26"/>
      <c r="K504" s="26"/>
      <c r="M504" s="27"/>
    </row>
    <row r="505" spans="8:13" x14ac:dyDescent="0.3">
      <c r="H505" s="50"/>
      <c r="I505" s="50"/>
      <c r="J505" s="26"/>
      <c r="K505" s="26"/>
      <c r="M505" s="27"/>
    </row>
    <row r="506" spans="8:13" x14ac:dyDescent="0.3">
      <c r="H506" s="50"/>
      <c r="I506" s="50"/>
      <c r="J506" s="26"/>
      <c r="K506" s="26"/>
      <c r="M506" s="27"/>
    </row>
    <row r="507" spans="8:13" x14ac:dyDescent="0.3">
      <c r="H507" s="50"/>
      <c r="I507" s="50"/>
      <c r="J507" s="26"/>
      <c r="K507" s="26"/>
      <c r="M507" s="27"/>
    </row>
    <row r="508" spans="8:13" x14ac:dyDescent="0.3">
      <c r="H508" s="50"/>
      <c r="I508" s="50"/>
      <c r="J508" s="26"/>
      <c r="K508" s="26"/>
      <c r="M508" s="27"/>
    </row>
    <row r="509" spans="8:13" x14ac:dyDescent="0.3">
      <c r="H509" s="50"/>
      <c r="I509" s="50"/>
      <c r="J509" s="26"/>
      <c r="K509" s="26"/>
      <c r="M509" s="27"/>
    </row>
    <row r="510" spans="8:13" x14ac:dyDescent="0.3">
      <c r="H510" s="50"/>
      <c r="I510" s="50"/>
      <c r="J510" s="26"/>
      <c r="K510" s="26"/>
      <c r="M510" s="27"/>
    </row>
    <row r="511" spans="8:13" x14ac:dyDescent="0.3">
      <c r="H511" s="50"/>
      <c r="I511" s="50"/>
      <c r="J511" s="26"/>
      <c r="K511" s="26"/>
      <c r="M511" s="27"/>
    </row>
    <row r="512" spans="8:13" x14ac:dyDescent="0.3">
      <c r="H512" s="50"/>
      <c r="I512" s="50"/>
      <c r="J512" s="26"/>
      <c r="K512" s="26"/>
      <c r="M512" s="27"/>
    </row>
    <row r="513" spans="8:13" x14ac:dyDescent="0.3">
      <c r="H513" s="50"/>
      <c r="I513" s="50"/>
      <c r="J513" s="26"/>
      <c r="K513" s="26"/>
      <c r="M513" s="27"/>
    </row>
    <row r="514" spans="8:13" x14ac:dyDescent="0.3">
      <c r="H514" s="50"/>
      <c r="I514" s="50"/>
      <c r="J514" s="26"/>
      <c r="K514" s="26"/>
      <c r="M514" s="27"/>
    </row>
    <row r="515" spans="8:13" x14ac:dyDescent="0.3">
      <c r="H515" s="50"/>
      <c r="I515" s="50"/>
      <c r="J515" s="26"/>
      <c r="K515" s="26"/>
      <c r="M515" s="27"/>
    </row>
    <row r="516" spans="8:13" x14ac:dyDescent="0.3">
      <c r="H516" s="50"/>
      <c r="I516" s="50"/>
      <c r="J516" s="26"/>
      <c r="K516" s="26"/>
      <c r="M516" s="27"/>
    </row>
    <row r="517" spans="8:13" x14ac:dyDescent="0.3">
      <c r="H517" s="50"/>
      <c r="I517" s="50"/>
      <c r="J517" s="26"/>
      <c r="K517" s="26"/>
      <c r="M517" s="27"/>
    </row>
    <row r="518" spans="8:13" x14ac:dyDescent="0.3">
      <c r="H518" s="50"/>
      <c r="I518" s="50"/>
      <c r="J518" s="26"/>
      <c r="K518" s="26"/>
      <c r="M518" s="27"/>
    </row>
    <row r="519" spans="8:13" x14ac:dyDescent="0.3">
      <c r="H519" s="50"/>
      <c r="I519" s="50"/>
      <c r="J519" s="26"/>
      <c r="K519" s="26"/>
      <c r="M519" s="27"/>
    </row>
    <row r="520" spans="8:13" x14ac:dyDescent="0.3">
      <c r="H520" s="50"/>
      <c r="I520" s="50"/>
      <c r="J520" s="26"/>
      <c r="K520" s="26"/>
      <c r="M520" s="27"/>
    </row>
    <row r="521" spans="8:13" x14ac:dyDescent="0.3">
      <c r="H521" s="50"/>
      <c r="I521" s="50"/>
      <c r="J521" s="26"/>
      <c r="K521" s="26"/>
      <c r="M521" s="27"/>
    </row>
    <row r="522" spans="8:13" x14ac:dyDescent="0.3">
      <c r="H522" s="50"/>
      <c r="I522" s="50"/>
      <c r="J522" s="26"/>
      <c r="K522" s="26"/>
      <c r="M522" s="27"/>
    </row>
    <row r="523" spans="8:13" x14ac:dyDescent="0.3">
      <c r="H523" s="50"/>
      <c r="I523" s="50"/>
      <c r="J523" s="26"/>
      <c r="K523" s="26"/>
      <c r="M523" s="27"/>
    </row>
    <row r="524" spans="8:13" x14ac:dyDescent="0.3">
      <c r="H524" s="50"/>
      <c r="I524" s="50"/>
      <c r="J524" s="26"/>
      <c r="K524" s="26"/>
      <c r="M524" s="27"/>
    </row>
    <row r="525" spans="8:13" x14ac:dyDescent="0.3">
      <c r="H525" s="50"/>
      <c r="I525" s="50"/>
      <c r="J525" s="26"/>
      <c r="K525" s="26"/>
      <c r="M525" s="27"/>
    </row>
    <row r="526" spans="8:13" x14ac:dyDescent="0.3">
      <c r="H526" s="50"/>
      <c r="I526" s="50"/>
      <c r="J526" s="26"/>
      <c r="K526" s="26"/>
      <c r="M526" s="27"/>
    </row>
    <row r="527" spans="8:13" x14ac:dyDescent="0.3">
      <c r="H527" s="50"/>
      <c r="I527" s="50"/>
      <c r="J527" s="26"/>
      <c r="K527" s="26"/>
      <c r="M527" s="27"/>
    </row>
    <row r="528" spans="8:13" x14ac:dyDescent="0.3">
      <c r="H528" s="50"/>
      <c r="I528" s="50"/>
      <c r="J528" s="26"/>
      <c r="K528" s="26"/>
      <c r="M528" s="27"/>
    </row>
    <row r="529" spans="8:13" x14ac:dyDescent="0.3">
      <c r="H529" s="50"/>
      <c r="I529" s="50"/>
      <c r="J529" s="26"/>
      <c r="K529" s="26"/>
      <c r="M529" s="27"/>
    </row>
    <row r="530" spans="8:13" x14ac:dyDescent="0.3">
      <c r="H530" s="50"/>
      <c r="I530" s="50"/>
      <c r="J530" s="26"/>
      <c r="K530" s="26"/>
      <c r="M530" s="27"/>
    </row>
    <row r="531" spans="8:13" x14ac:dyDescent="0.3">
      <c r="H531" s="50"/>
      <c r="I531" s="50"/>
      <c r="J531" s="26"/>
      <c r="K531" s="26"/>
      <c r="M531" s="27"/>
    </row>
    <row r="532" spans="8:13" x14ac:dyDescent="0.3">
      <c r="H532" s="50"/>
      <c r="I532" s="50"/>
      <c r="J532" s="26"/>
      <c r="K532" s="26"/>
      <c r="M532" s="27"/>
    </row>
    <row r="533" spans="8:13" x14ac:dyDescent="0.3">
      <c r="H533" s="50"/>
      <c r="I533" s="50"/>
      <c r="J533" s="26"/>
      <c r="K533" s="26"/>
      <c r="M533" s="27"/>
    </row>
    <row r="534" spans="8:13" x14ac:dyDescent="0.3">
      <c r="H534" s="50"/>
      <c r="I534" s="50"/>
      <c r="J534" s="26"/>
      <c r="K534" s="26"/>
      <c r="M534" s="27"/>
    </row>
    <row r="535" spans="8:13" x14ac:dyDescent="0.3">
      <c r="H535" s="50"/>
      <c r="I535" s="50"/>
      <c r="J535" s="26"/>
      <c r="K535" s="26"/>
      <c r="M535" s="27"/>
    </row>
    <row r="536" spans="8:13" x14ac:dyDescent="0.3">
      <c r="H536" s="50"/>
      <c r="I536" s="50"/>
      <c r="J536" s="26"/>
      <c r="K536" s="26"/>
      <c r="M536" s="27"/>
    </row>
    <row r="537" spans="8:13" x14ac:dyDescent="0.3">
      <c r="H537" s="50"/>
      <c r="I537" s="50"/>
      <c r="J537" s="26"/>
      <c r="K537" s="26"/>
      <c r="M537" s="27"/>
    </row>
    <row r="538" spans="8:13" x14ac:dyDescent="0.3">
      <c r="H538" s="50"/>
      <c r="I538" s="50"/>
      <c r="J538" s="26"/>
      <c r="K538" s="26"/>
      <c r="M538" s="27"/>
    </row>
    <row r="539" spans="8:13" x14ac:dyDescent="0.3">
      <c r="H539" s="50"/>
      <c r="I539" s="50"/>
      <c r="J539" s="26"/>
      <c r="K539" s="26"/>
      <c r="M539" s="27"/>
    </row>
    <row r="540" spans="8:13" x14ac:dyDescent="0.3">
      <c r="H540" s="50"/>
      <c r="I540" s="50"/>
      <c r="J540" s="26"/>
      <c r="K540" s="26"/>
      <c r="M540" s="27"/>
    </row>
    <row r="541" spans="8:13" x14ac:dyDescent="0.3">
      <c r="H541" s="50"/>
      <c r="I541" s="50"/>
      <c r="J541" s="26"/>
      <c r="K541" s="26"/>
      <c r="M541" s="27"/>
    </row>
    <row r="542" spans="8:13" x14ac:dyDescent="0.3">
      <c r="H542" s="50"/>
      <c r="I542" s="50"/>
      <c r="J542" s="26"/>
      <c r="K542" s="26"/>
      <c r="M542" s="27"/>
    </row>
    <row r="543" spans="8:13" x14ac:dyDescent="0.3">
      <c r="H543" s="50"/>
      <c r="I543" s="50"/>
      <c r="J543" s="26"/>
      <c r="K543" s="26"/>
      <c r="M543" s="27"/>
    </row>
    <row r="544" spans="8:13" x14ac:dyDescent="0.3">
      <c r="H544" s="50"/>
      <c r="I544" s="50"/>
      <c r="J544" s="26"/>
      <c r="K544" s="26"/>
      <c r="M544" s="27"/>
    </row>
    <row r="545" spans="8:13" x14ac:dyDescent="0.3">
      <c r="H545" s="50"/>
      <c r="I545" s="50"/>
      <c r="J545" s="26"/>
      <c r="K545" s="26"/>
      <c r="M545" s="27"/>
    </row>
    <row r="546" spans="8:13" x14ac:dyDescent="0.3">
      <c r="H546" s="50"/>
      <c r="I546" s="50"/>
      <c r="J546" s="26"/>
      <c r="K546" s="26"/>
      <c r="M546" s="27"/>
    </row>
    <row r="547" spans="8:13" x14ac:dyDescent="0.3">
      <c r="H547" s="50"/>
      <c r="I547" s="50"/>
      <c r="J547" s="26"/>
      <c r="K547" s="26"/>
      <c r="M547" s="27"/>
    </row>
    <row r="548" spans="8:13" x14ac:dyDescent="0.3">
      <c r="H548" s="50"/>
      <c r="I548" s="50"/>
      <c r="J548" s="26"/>
      <c r="K548" s="26"/>
      <c r="M548" s="27"/>
    </row>
    <row r="549" spans="8:13" x14ac:dyDescent="0.3">
      <c r="H549" s="50"/>
      <c r="I549" s="50"/>
      <c r="J549" s="26"/>
      <c r="K549" s="26"/>
      <c r="M549" s="27"/>
    </row>
    <row r="550" spans="8:13" x14ac:dyDescent="0.3">
      <c r="H550" s="50"/>
      <c r="I550" s="50"/>
      <c r="J550" s="26"/>
      <c r="K550" s="26"/>
      <c r="M550" s="27"/>
    </row>
    <row r="551" spans="8:13" x14ac:dyDescent="0.3">
      <c r="H551" s="50"/>
      <c r="I551" s="50"/>
      <c r="J551" s="26"/>
      <c r="K551" s="26"/>
      <c r="M551" s="27"/>
    </row>
    <row r="552" spans="8:13" x14ac:dyDescent="0.3">
      <c r="H552" s="50"/>
      <c r="I552" s="50"/>
      <c r="J552" s="26"/>
      <c r="K552" s="26"/>
      <c r="M552" s="27"/>
    </row>
    <row r="553" spans="8:13" x14ac:dyDescent="0.3">
      <c r="H553" s="50"/>
      <c r="I553" s="50"/>
      <c r="J553" s="26"/>
      <c r="K553" s="26"/>
      <c r="M553" s="27"/>
    </row>
    <row r="554" spans="8:13" x14ac:dyDescent="0.3">
      <c r="H554" s="50"/>
      <c r="I554" s="50"/>
      <c r="J554" s="26"/>
      <c r="K554" s="26"/>
      <c r="M554" s="27"/>
    </row>
    <row r="555" spans="8:13" x14ac:dyDescent="0.3">
      <c r="H555" s="50"/>
      <c r="I555" s="50"/>
      <c r="J555" s="26"/>
      <c r="K555" s="26"/>
      <c r="M555" s="27"/>
    </row>
    <row r="556" spans="8:13" x14ac:dyDescent="0.3">
      <c r="H556" s="50"/>
      <c r="I556" s="50"/>
      <c r="J556" s="26"/>
      <c r="K556" s="26"/>
      <c r="M556" s="27"/>
    </row>
    <row r="557" spans="8:13" x14ac:dyDescent="0.3">
      <c r="H557" s="50"/>
      <c r="I557" s="50"/>
      <c r="J557" s="26"/>
      <c r="K557" s="26"/>
      <c r="M557" s="27"/>
    </row>
    <row r="558" spans="8:13" x14ac:dyDescent="0.3">
      <c r="H558" s="50"/>
      <c r="I558" s="50"/>
      <c r="J558" s="26"/>
      <c r="K558" s="26"/>
      <c r="M558" s="27"/>
    </row>
    <row r="559" spans="8:13" x14ac:dyDescent="0.3">
      <c r="H559" s="50"/>
      <c r="I559" s="50"/>
      <c r="J559" s="26"/>
      <c r="K559" s="26"/>
      <c r="M559" s="27"/>
    </row>
    <row r="560" spans="8:13" x14ac:dyDescent="0.3">
      <c r="H560" s="50"/>
      <c r="I560" s="50"/>
      <c r="J560" s="26"/>
      <c r="K560" s="26"/>
      <c r="M560" s="27"/>
    </row>
    <row r="561" spans="8:13" x14ac:dyDescent="0.3">
      <c r="H561" s="50"/>
      <c r="I561" s="50"/>
      <c r="J561" s="26"/>
      <c r="K561" s="26"/>
      <c r="M561" s="27"/>
    </row>
    <row r="562" spans="8:13" x14ac:dyDescent="0.3">
      <c r="H562" s="50"/>
      <c r="I562" s="50"/>
      <c r="J562" s="26"/>
      <c r="K562" s="26"/>
      <c r="M562" s="27"/>
    </row>
    <row r="563" spans="8:13" x14ac:dyDescent="0.3">
      <c r="H563" s="50"/>
      <c r="I563" s="50"/>
      <c r="J563" s="26"/>
      <c r="K563" s="26"/>
      <c r="M563" s="27"/>
    </row>
    <row r="564" spans="8:13" x14ac:dyDescent="0.3">
      <c r="H564" s="50"/>
      <c r="I564" s="50"/>
      <c r="J564" s="26"/>
      <c r="K564" s="26"/>
      <c r="M564" s="27"/>
    </row>
    <row r="565" spans="8:13" x14ac:dyDescent="0.3">
      <c r="H565" s="50"/>
      <c r="I565" s="50"/>
      <c r="J565" s="26"/>
      <c r="K565" s="26"/>
      <c r="M565" s="27"/>
    </row>
    <row r="566" spans="8:13" x14ac:dyDescent="0.3">
      <c r="H566" s="50"/>
      <c r="I566" s="50"/>
      <c r="J566" s="26"/>
      <c r="K566" s="26"/>
      <c r="M566" s="27"/>
    </row>
    <row r="567" spans="8:13" x14ac:dyDescent="0.3">
      <c r="H567" s="50"/>
      <c r="I567" s="50"/>
      <c r="J567" s="26"/>
      <c r="K567" s="26"/>
      <c r="M567" s="27"/>
    </row>
    <row r="568" spans="8:13" x14ac:dyDescent="0.3">
      <c r="H568" s="50"/>
      <c r="I568" s="50"/>
      <c r="J568" s="26"/>
      <c r="K568" s="26"/>
      <c r="M568" s="27"/>
    </row>
    <row r="569" spans="8:13" x14ac:dyDescent="0.3">
      <c r="H569" s="50"/>
      <c r="I569" s="50"/>
      <c r="J569" s="26"/>
      <c r="K569" s="26"/>
      <c r="M569" s="27"/>
    </row>
    <row r="570" spans="8:13" x14ac:dyDescent="0.3">
      <c r="H570" s="50"/>
      <c r="I570" s="50"/>
      <c r="J570" s="26"/>
      <c r="K570" s="26"/>
      <c r="M570" s="27"/>
    </row>
    <row r="571" spans="8:13" x14ac:dyDescent="0.3">
      <c r="H571" s="50"/>
      <c r="I571" s="50"/>
      <c r="J571" s="26"/>
      <c r="K571" s="26"/>
      <c r="M571" s="27"/>
    </row>
    <row r="572" spans="8:13" x14ac:dyDescent="0.3">
      <c r="H572" s="50"/>
      <c r="I572" s="50"/>
      <c r="J572" s="26"/>
      <c r="K572" s="26"/>
      <c r="M572" s="27"/>
    </row>
    <row r="573" spans="8:13" x14ac:dyDescent="0.3">
      <c r="H573" s="50"/>
      <c r="I573" s="50"/>
      <c r="J573" s="26"/>
      <c r="K573" s="26"/>
      <c r="M573" s="27"/>
    </row>
    <row r="574" spans="8:13" x14ac:dyDescent="0.3">
      <c r="H574" s="50"/>
      <c r="I574" s="50"/>
      <c r="J574" s="26"/>
      <c r="K574" s="26"/>
      <c r="M574" s="27"/>
    </row>
    <row r="575" spans="8:13" x14ac:dyDescent="0.3">
      <c r="H575" s="50"/>
      <c r="I575" s="50"/>
      <c r="J575" s="26"/>
      <c r="K575" s="26"/>
      <c r="M575" s="27"/>
    </row>
    <row r="576" spans="8:13" x14ac:dyDescent="0.3">
      <c r="H576" s="50"/>
      <c r="I576" s="50"/>
      <c r="J576" s="26"/>
      <c r="K576" s="26"/>
      <c r="M576" s="27"/>
    </row>
    <row r="577" spans="8:13" x14ac:dyDescent="0.3">
      <c r="H577" s="50"/>
      <c r="I577" s="50"/>
      <c r="J577" s="26"/>
      <c r="K577" s="26"/>
      <c r="M577" s="27"/>
    </row>
    <row r="578" spans="8:13" x14ac:dyDescent="0.3">
      <c r="H578" s="50"/>
      <c r="I578" s="50"/>
      <c r="J578" s="26"/>
      <c r="K578" s="26"/>
      <c r="M578" s="27"/>
    </row>
    <row r="579" spans="8:13" x14ac:dyDescent="0.3">
      <c r="H579" s="50"/>
      <c r="I579" s="50"/>
      <c r="J579" s="26"/>
      <c r="K579" s="26"/>
      <c r="M579" s="27"/>
    </row>
    <row r="580" spans="8:13" x14ac:dyDescent="0.3">
      <c r="H580" s="50"/>
      <c r="I580" s="50"/>
      <c r="J580" s="26"/>
      <c r="K580" s="26"/>
      <c r="M580" s="27"/>
    </row>
    <row r="581" spans="8:13" x14ac:dyDescent="0.3">
      <c r="H581" s="50"/>
      <c r="I581" s="50"/>
      <c r="J581" s="26"/>
      <c r="K581" s="26"/>
      <c r="M581" s="27"/>
    </row>
    <row r="582" spans="8:13" x14ac:dyDescent="0.3">
      <c r="H582" s="50"/>
      <c r="I582" s="50"/>
      <c r="J582" s="26"/>
      <c r="K582" s="26"/>
      <c r="M582" s="27"/>
    </row>
    <row r="583" spans="8:13" x14ac:dyDescent="0.3">
      <c r="H583" s="50"/>
      <c r="I583" s="50"/>
      <c r="J583" s="26"/>
      <c r="K583" s="26"/>
      <c r="M583" s="27"/>
    </row>
    <row r="584" spans="8:13" x14ac:dyDescent="0.3">
      <c r="H584" s="50"/>
      <c r="I584" s="50"/>
      <c r="J584" s="26"/>
      <c r="K584" s="26"/>
      <c r="M584" s="27"/>
    </row>
    <row r="585" spans="8:13" x14ac:dyDescent="0.3">
      <c r="H585" s="50"/>
      <c r="I585" s="50"/>
      <c r="J585" s="26"/>
      <c r="K585" s="26"/>
      <c r="M585" s="27"/>
    </row>
    <row r="586" spans="8:13" x14ac:dyDescent="0.3">
      <c r="H586" s="50"/>
      <c r="I586" s="50"/>
      <c r="J586" s="26"/>
      <c r="K586" s="26"/>
      <c r="M586" s="27"/>
    </row>
    <row r="587" spans="8:13" x14ac:dyDescent="0.3">
      <c r="H587" s="50"/>
      <c r="I587" s="50"/>
      <c r="J587" s="26"/>
      <c r="K587" s="26"/>
      <c r="M587" s="27"/>
    </row>
    <row r="588" spans="8:13" x14ac:dyDescent="0.3">
      <c r="H588" s="50"/>
      <c r="I588" s="50"/>
      <c r="J588" s="26"/>
      <c r="K588" s="26"/>
      <c r="M588" s="27"/>
    </row>
    <row r="589" spans="8:13" x14ac:dyDescent="0.3">
      <c r="H589" s="50"/>
      <c r="I589" s="50"/>
      <c r="J589" s="26"/>
      <c r="K589" s="26"/>
      <c r="M589" s="27"/>
    </row>
    <row r="590" spans="8:13" x14ac:dyDescent="0.3">
      <c r="H590" s="50"/>
      <c r="I590" s="50"/>
      <c r="J590" s="26"/>
      <c r="K590" s="26"/>
      <c r="M590" s="27"/>
    </row>
    <row r="591" spans="8:13" x14ac:dyDescent="0.3">
      <c r="H591" s="50"/>
      <c r="I591" s="50"/>
      <c r="J591" s="26"/>
      <c r="K591" s="26"/>
      <c r="M591" s="27"/>
    </row>
    <row r="592" spans="8:13" x14ac:dyDescent="0.3">
      <c r="H592" s="50"/>
      <c r="I592" s="50"/>
      <c r="J592" s="26"/>
      <c r="K592" s="26"/>
      <c r="M592" s="27"/>
    </row>
    <row r="593" spans="8:13" x14ac:dyDescent="0.3">
      <c r="H593" s="50"/>
      <c r="I593" s="50"/>
      <c r="J593" s="26"/>
      <c r="K593" s="26"/>
      <c r="M593" s="27"/>
    </row>
    <row r="594" spans="8:13" x14ac:dyDescent="0.3">
      <c r="H594" s="50"/>
      <c r="I594" s="50"/>
      <c r="J594" s="26"/>
      <c r="K594" s="26"/>
      <c r="M594" s="27"/>
    </row>
    <row r="595" spans="8:13" x14ac:dyDescent="0.3">
      <c r="H595" s="50"/>
      <c r="I595" s="50"/>
      <c r="J595" s="26"/>
      <c r="K595" s="26"/>
      <c r="M595" s="27"/>
    </row>
    <row r="596" spans="8:13" x14ac:dyDescent="0.3">
      <c r="H596" s="50"/>
      <c r="I596" s="50"/>
      <c r="J596" s="26"/>
      <c r="K596" s="26"/>
      <c r="M596" s="27"/>
    </row>
    <row r="597" spans="8:13" x14ac:dyDescent="0.3">
      <c r="H597" s="50"/>
      <c r="I597" s="50"/>
      <c r="J597" s="26"/>
      <c r="K597" s="26"/>
      <c r="M597" s="27"/>
    </row>
    <row r="598" spans="8:13" x14ac:dyDescent="0.3">
      <c r="H598" s="50"/>
      <c r="I598" s="50"/>
      <c r="J598" s="26"/>
      <c r="K598" s="26"/>
      <c r="M598" s="27"/>
    </row>
    <row r="599" spans="8:13" x14ac:dyDescent="0.3">
      <c r="H599" s="50"/>
      <c r="I599" s="50"/>
      <c r="J599" s="26"/>
      <c r="K599" s="26"/>
      <c r="M599" s="27"/>
    </row>
    <row r="600" spans="8:13" x14ac:dyDescent="0.3">
      <c r="H600" s="50"/>
      <c r="I600" s="50"/>
      <c r="J600" s="26"/>
      <c r="K600" s="26"/>
      <c r="M600" s="27"/>
    </row>
    <row r="601" spans="8:13" x14ac:dyDescent="0.3">
      <c r="H601" s="50"/>
      <c r="I601" s="50"/>
      <c r="J601" s="26"/>
      <c r="K601" s="26"/>
      <c r="M601" s="27"/>
    </row>
    <row r="602" spans="8:13" x14ac:dyDescent="0.3">
      <c r="H602" s="50"/>
      <c r="I602" s="50"/>
      <c r="J602" s="26"/>
      <c r="K602" s="26"/>
      <c r="M602" s="27"/>
    </row>
    <row r="603" spans="8:13" x14ac:dyDescent="0.3">
      <c r="H603" s="50"/>
      <c r="I603" s="50"/>
      <c r="J603" s="26"/>
      <c r="K603" s="26"/>
      <c r="M603" s="27"/>
    </row>
    <row r="604" spans="8:13" x14ac:dyDescent="0.3">
      <c r="H604" s="50"/>
      <c r="I604" s="50"/>
      <c r="J604" s="26"/>
      <c r="K604" s="26"/>
      <c r="M604" s="27"/>
    </row>
    <row r="605" spans="8:13" x14ac:dyDescent="0.3">
      <c r="H605" s="50"/>
      <c r="I605" s="50"/>
      <c r="J605" s="26"/>
      <c r="K605" s="26"/>
      <c r="M605" s="27"/>
    </row>
    <row r="606" spans="8:13" x14ac:dyDescent="0.3">
      <c r="H606" s="50"/>
      <c r="I606" s="50"/>
      <c r="J606" s="26"/>
      <c r="K606" s="26"/>
      <c r="M606" s="27"/>
    </row>
    <row r="607" spans="8:13" x14ac:dyDescent="0.3">
      <c r="H607" s="50"/>
      <c r="I607" s="50"/>
      <c r="J607" s="26"/>
      <c r="K607" s="26"/>
      <c r="M607" s="27"/>
    </row>
    <row r="608" spans="8:13" x14ac:dyDescent="0.3">
      <c r="H608" s="50"/>
      <c r="I608" s="50"/>
      <c r="J608" s="26"/>
      <c r="K608" s="26"/>
      <c r="M608" s="27"/>
    </row>
    <row r="609" spans="8:13" x14ac:dyDescent="0.3">
      <c r="H609" s="50"/>
      <c r="I609" s="50"/>
      <c r="J609" s="26"/>
      <c r="K609" s="26"/>
      <c r="M609" s="27"/>
    </row>
    <row r="610" spans="8:13" x14ac:dyDescent="0.3">
      <c r="H610" s="50"/>
      <c r="I610" s="50"/>
      <c r="J610" s="26"/>
      <c r="K610" s="26"/>
      <c r="M610" s="27"/>
    </row>
    <row r="611" spans="8:13" x14ac:dyDescent="0.3">
      <c r="H611" s="50"/>
      <c r="I611" s="50"/>
      <c r="J611" s="26"/>
      <c r="K611" s="26"/>
      <c r="M611" s="27"/>
    </row>
    <row r="612" spans="8:13" x14ac:dyDescent="0.3">
      <c r="H612" s="50"/>
      <c r="I612" s="50"/>
      <c r="J612" s="26"/>
      <c r="K612" s="26"/>
      <c r="M612" s="27"/>
    </row>
    <row r="613" spans="8:13" x14ac:dyDescent="0.3">
      <c r="H613" s="50"/>
      <c r="I613" s="50"/>
      <c r="J613" s="26"/>
      <c r="K613" s="26"/>
      <c r="M613" s="27"/>
    </row>
    <row r="614" spans="8:13" x14ac:dyDescent="0.3">
      <c r="H614" s="50"/>
      <c r="I614" s="50"/>
      <c r="J614" s="26"/>
      <c r="K614" s="26"/>
      <c r="M614" s="27"/>
    </row>
    <row r="615" spans="8:13" x14ac:dyDescent="0.3">
      <c r="H615" s="50"/>
      <c r="I615" s="50"/>
      <c r="J615" s="26"/>
      <c r="K615" s="26"/>
      <c r="M615" s="27"/>
    </row>
    <row r="616" spans="8:13" x14ac:dyDescent="0.3">
      <c r="H616" s="50"/>
      <c r="I616" s="50"/>
      <c r="J616" s="26"/>
      <c r="K616" s="26"/>
      <c r="M616" s="27"/>
    </row>
    <row r="617" spans="8:13" x14ac:dyDescent="0.3">
      <c r="H617" s="50"/>
      <c r="I617" s="50"/>
      <c r="J617" s="26"/>
      <c r="K617" s="26"/>
      <c r="M617" s="27"/>
    </row>
    <row r="618" spans="8:13" x14ac:dyDescent="0.3">
      <c r="H618" s="50"/>
      <c r="I618" s="50"/>
      <c r="J618" s="26"/>
      <c r="K618" s="26"/>
      <c r="M618" s="27"/>
    </row>
    <row r="619" spans="8:13" x14ac:dyDescent="0.3">
      <c r="H619" s="50"/>
      <c r="I619" s="50"/>
      <c r="J619" s="26"/>
      <c r="K619" s="26"/>
      <c r="M619" s="27"/>
    </row>
    <row r="620" spans="8:13" x14ac:dyDescent="0.3">
      <c r="H620" s="50"/>
      <c r="I620" s="50"/>
      <c r="J620" s="26"/>
      <c r="K620" s="26"/>
      <c r="M620" s="27"/>
    </row>
    <row r="621" spans="8:13" x14ac:dyDescent="0.3">
      <c r="H621" s="50"/>
      <c r="I621" s="50"/>
      <c r="J621" s="26"/>
      <c r="K621" s="26"/>
      <c r="M621" s="27"/>
    </row>
    <row r="622" spans="8:13" x14ac:dyDescent="0.3">
      <c r="H622" s="50"/>
      <c r="I622" s="50"/>
      <c r="J622" s="26"/>
      <c r="K622" s="26"/>
      <c r="M622" s="27"/>
    </row>
    <row r="623" spans="8:13" x14ac:dyDescent="0.3">
      <c r="H623" s="50"/>
      <c r="I623" s="50"/>
      <c r="J623" s="26"/>
      <c r="K623" s="26"/>
      <c r="M623" s="27"/>
    </row>
    <row r="624" spans="8:13" x14ac:dyDescent="0.3">
      <c r="H624" s="50"/>
      <c r="I624" s="50"/>
      <c r="J624" s="26"/>
      <c r="K624" s="26"/>
      <c r="M624" s="27"/>
    </row>
    <row r="625" spans="8:13" x14ac:dyDescent="0.3">
      <c r="H625" s="50"/>
      <c r="I625" s="50"/>
      <c r="J625" s="26"/>
      <c r="K625" s="26"/>
      <c r="M625" s="27"/>
    </row>
    <row r="626" spans="8:13" x14ac:dyDescent="0.3">
      <c r="H626" s="50"/>
      <c r="I626" s="50"/>
      <c r="J626" s="26"/>
      <c r="K626" s="26"/>
      <c r="M626" s="27"/>
    </row>
    <row r="627" spans="8:13" x14ac:dyDescent="0.3">
      <c r="H627" s="50"/>
      <c r="I627" s="50"/>
      <c r="J627" s="26"/>
      <c r="K627" s="26"/>
      <c r="M627" s="27"/>
    </row>
    <row r="628" spans="8:13" x14ac:dyDescent="0.3">
      <c r="H628" s="50"/>
      <c r="I628" s="50"/>
      <c r="J628" s="26"/>
      <c r="K628" s="26"/>
      <c r="M628" s="27"/>
    </row>
    <row r="629" spans="8:13" x14ac:dyDescent="0.3">
      <c r="H629" s="50"/>
      <c r="I629" s="50"/>
      <c r="J629" s="26"/>
      <c r="K629" s="26"/>
      <c r="M629" s="27"/>
    </row>
    <row r="630" spans="8:13" x14ac:dyDescent="0.3">
      <c r="H630" s="50"/>
      <c r="I630" s="50"/>
      <c r="J630" s="26"/>
      <c r="K630" s="26"/>
      <c r="M630" s="27"/>
    </row>
    <row r="631" spans="8:13" x14ac:dyDescent="0.3">
      <c r="H631" s="50"/>
      <c r="I631" s="50"/>
      <c r="J631" s="26"/>
      <c r="K631" s="26"/>
      <c r="M631" s="27"/>
    </row>
    <row r="632" spans="8:13" x14ac:dyDescent="0.3">
      <c r="H632" s="50"/>
      <c r="I632" s="50"/>
      <c r="J632" s="26"/>
      <c r="K632" s="26"/>
      <c r="M632" s="27"/>
    </row>
    <row r="633" spans="8:13" x14ac:dyDescent="0.3">
      <c r="H633" s="50"/>
      <c r="I633" s="50"/>
      <c r="J633" s="26"/>
      <c r="K633" s="26"/>
      <c r="M633" s="27"/>
    </row>
    <row r="634" spans="8:13" x14ac:dyDescent="0.3">
      <c r="H634" s="50"/>
      <c r="I634" s="50"/>
      <c r="J634" s="26"/>
      <c r="K634" s="26"/>
      <c r="M634" s="27"/>
    </row>
    <row r="635" spans="8:13" x14ac:dyDescent="0.3">
      <c r="H635" s="50"/>
      <c r="I635" s="50"/>
      <c r="J635" s="26"/>
      <c r="K635" s="26"/>
      <c r="M635" s="27"/>
    </row>
    <row r="636" spans="8:13" x14ac:dyDescent="0.3">
      <c r="H636" s="50"/>
      <c r="I636" s="50"/>
      <c r="J636" s="26"/>
      <c r="K636" s="26"/>
      <c r="M636" s="27"/>
    </row>
    <row r="637" spans="8:13" x14ac:dyDescent="0.3">
      <c r="H637" s="50"/>
      <c r="I637" s="50"/>
      <c r="J637" s="26"/>
      <c r="K637" s="26"/>
      <c r="M637" s="27"/>
    </row>
    <row r="638" spans="8:13" x14ac:dyDescent="0.3">
      <c r="H638" s="50"/>
      <c r="I638" s="50"/>
      <c r="J638" s="26"/>
      <c r="K638" s="26"/>
      <c r="M638" s="27"/>
    </row>
    <row r="639" spans="8:13" x14ac:dyDescent="0.3">
      <c r="H639" s="50"/>
      <c r="I639" s="50"/>
      <c r="J639" s="26"/>
      <c r="K639" s="26"/>
      <c r="M639" s="27"/>
    </row>
    <row r="640" spans="8:13" x14ac:dyDescent="0.3">
      <c r="H640" s="50"/>
      <c r="I640" s="50"/>
      <c r="J640" s="26"/>
      <c r="K640" s="26"/>
      <c r="M640" s="27"/>
    </row>
    <row r="641" spans="8:13" x14ac:dyDescent="0.3">
      <c r="H641" s="50"/>
      <c r="I641" s="50"/>
      <c r="J641" s="26"/>
      <c r="K641" s="26"/>
      <c r="M641" s="27"/>
    </row>
    <row r="642" spans="8:13" x14ac:dyDescent="0.3">
      <c r="H642" s="50"/>
      <c r="I642" s="50"/>
      <c r="J642" s="26"/>
      <c r="K642" s="26"/>
      <c r="M642" s="27"/>
    </row>
    <row r="643" spans="8:13" x14ac:dyDescent="0.3">
      <c r="H643" s="50"/>
      <c r="I643" s="50"/>
      <c r="J643" s="26"/>
      <c r="K643" s="26"/>
      <c r="M643" s="27"/>
    </row>
    <row r="644" spans="8:13" x14ac:dyDescent="0.3">
      <c r="H644" s="50"/>
      <c r="I644" s="50"/>
      <c r="J644" s="26"/>
      <c r="K644" s="26"/>
      <c r="M644" s="27"/>
    </row>
    <row r="645" spans="8:13" x14ac:dyDescent="0.3">
      <c r="H645" s="50"/>
      <c r="I645" s="50"/>
      <c r="J645" s="26"/>
      <c r="K645" s="26"/>
      <c r="M645" s="27"/>
    </row>
    <row r="646" spans="8:13" x14ac:dyDescent="0.3">
      <c r="H646" s="50"/>
      <c r="I646" s="50"/>
      <c r="J646" s="26"/>
      <c r="K646" s="26"/>
      <c r="M646" s="27"/>
    </row>
    <row r="647" spans="8:13" x14ac:dyDescent="0.3">
      <c r="H647" s="50"/>
      <c r="I647" s="50"/>
      <c r="J647" s="26"/>
      <c r="K647" s="26"/>
      <c r="M647" s="27"/>
    </row>
    <row r="648" spans="8:13" x14ac:dyDescent="0.3">
      <c r="H648" s="50"/>
      <c r="I648" s="50"/>
      <c r="J648" s="26"/>
      <c r="K648" s="26"/>
      <c r="M648" s="27"/>
    </row>
    <row r="649" spans="8:13" x14ac:dyDescent="0.3">
      <c r="H649" s="50"/>
      <c r="I649" s="50"/>
      <c r="J649" s="26"/>
      <c r="K649" s="26"/>
      <c r="M649" s="27"/>
    </row>
    <row r="650" spans="8:13" x14ac:dyDescent="0.3">
      <c r="H650" s="50"/>
      <c r="I650" s="50"/>
      <c r="J650" s="26"/>
      <c r="K650" s="26"/>
      <c r="M650" s="27"/>
    </row>
    <row r="651" spans="8:13" x14ac:dyDescent="0.3">
      <c r="H651" s="50"/>
      <c r="I651" s="50"/>
      <c r="J651" s="26"/>
      <c r="K651" s="26"/>
      <c r="M651" s="27"/>
    </row>
    <row r="652" spans="8:13" x14ac:dyDescent="0.3">
      <c r="H652" s="50"/>
      <c r="I652" s="50"/>
      <c r="J652" s="26"/>
      <c r="K652" s="26"/>
      <c r="M652" s="27"/>
    </row>
    <row r="653" spans="8:13" x14ac:dyDescent="0.3">
      <c r="H653" s="50"/>
      <c r="I653" s="50"/>
      <c r="J653" s="26"/>
      <c r="K653" s="26"/>
      <c r="M653" s="27"/>
    </row>
    <row r="654" spans="8:13" x14ac:dyDescent="0.3">
      <c r="H654" s="50"/>
      <c r="I654" s="50"/>
      <c r="J654" s="26"/>
      <c r="K654" s="26"/>
      <c r="M654" s="27"/>
    </row>
    <row r="655" spans="8:13" x14ac:dyDescent="0.3">
      <c r="H655" s="50"/>
      <c r="I655" s="50"/>
      <c r="J655" s="26"/>
      <c r="K655" s="26"/>
      <c r="M655" s="27"/>
    </row>
    <row r="656" spans="8:13" x14ac:dyDescent="0.3">
      <c r="H656" s="50"/>
      <c r="I656" s="50"/>
      <c r="J656" s="26"/>
      <c r="K656" s="26"/>
      <c r="M656" s="27"/>
    </row>
    <row r="657" spans="8:13" x14ac:dyDescent="0.3">
      <c r="H657" s="50"/>
      <c r="I657" s="50"/>
      <c r="J657" s="26"/>
      <c r="K657" s="26"/>
      <c r="M657" s="27"/>
    </row>
    <row r="658" spans="8:13" x14ac:dyDescent="0.3">
      <c r="H658" s="50"/>
      <c r="I658" s="50"/>
      <c r="J658" s="26"/>
      <c r="K658" s="26"/>
      <c r="M658" s="27"/>
    </row>
    <row r="659" spans="8:13" x14ac:dyDescent="0.3">
      <c r="H659" s="50"/>
      <c r="I659" s="50"/>
      <c r="J659" s="26"/>
      <c r="K659" s="26"/>
      <c r="M659" s="27"/>
    </row>
    <row r="660" spans="8:13" x14ac:dyDescent="0.3">
      <c r="H660" s="50"/>
      <c r="I660" s="50"/>
      <c r="J660" s="26"/>
      <c r="K660" s="26"/>
      <c r="M660" s="27"/>
    </row>
    <row r="661" spans="8:13" x14ac:dyDescent="0.3">
      <c r="H661" s="50"/>
      <c r="I661" s="50"/>
      <c r="J661" s="26"/>
      <c r="K661" s="26"/>
      <c r="M661" s="27"/>
    </row>
    <row r="662" spans="8:13" x14ac:dyDescent="0.3">
      <c r="H662" s="50"/>
      <c r="I662" s="50"/>
      <c r="J662" s="26"/>
      <c r="K662" s="26"/>
      <c r="M662" s="27"/>
    </row>
    <row r="663" spans="8:13" x14ac:dyDescent="0.3">
      <c r="H663" s="50"/>
      <c r="I663" s="50"/>
      <c r="J663" s="26"/>
      <c r="K663" s="26"/>
      <c r="M663" s="27"/>
    </row>
    <row r="664" spans="8:13" x14ac:dyDescent="0.3">
      <c r="H664" s="50"/>
      <c r="I664" s="50"/>
      <c r="J664" s="26"/>
      <c r="K664" s="26"/>
      <c r="M664" s="27"/>
    </row>
    <row r="665" spans="8:13" x14ac:dyDescent="0.3">
      <c r="H665" s="50"/>
      <c r="I665" s="50"/>
      <c r="J665" s="26"/>
      <c r="K665" s="26"/>
      <c r="M665" s="27"/>
    </row>
    <row r="666" spans="8:13" x14ac:dyDescent="0.3">
      <c r="H666" s="50"/>
      <c r="I666" s="50"/>
      <c r="J666" s="26"/>
      <c r="K666" s="26"/>
      <c r="M666" s="27"/>
    </row>
    <row r="667" spans="8:13" x14ac:dyDescent="0.3">
      <c r="H667" s="50"/>
      <c r="I667" s="50"/>
      <c r="J667" s="26"/>
      <c r="K667" s="26"/>
      <c r="M667" s="27"/>
    </row>
    <row r="668" spans="8:13" x14ac:dyDescent="0.3">
      <c r="H668" s="50"/>
      <c r="I668" s="50"/>
      <c r="J668" s="26"/>
      <c r="K668" s="26"/>
      <c r="M668" s="27"/>
    </row>
    <row r="669" spans="8:13" x14ac:dyDescent="0.3">
      <c r="H669" s="50"/>
      <c r="I669" s="50"/>
      <c r="J669" s="26"/>
      <c r="K669" s="26"/>
      <c r="M669" s="27"/>
    </row>
    <row r="670" spans="8:13" x14ac:dyDescent="0.3">
      <c r="H670" s="50"/>
      <c r="I670" s="50"/>
      <c r="J670" s="26"/>
      <c r="K670" s="26"/>
      <c r="M670" s="27"/>
    </row>
    <row r="671" spans="8:13" x14ac:dyDescent="0.3">
      <c r="H671" s="50"/>
      <c r="I671" s="50"/>
      <c r="J671" s="26"/>
      <c r="K671" s="26"/>
      <c r="M671" s="27"/>
    </row>
    <row r="672" spans="8:13" x14ac:dyDescent="0.3">
      <c r="H672" s="50"/>
      <c r="I672" s="50"/>
      <c r="J672" s="26"/>
      <c r="K672" s="26"/>
      <c r="M672" s="27"/>
    </row>
    <row r="673" spans="8:13" x14ac:dyDescent="0.3">
      <c r="H673" s="50"/>
      <c r="I673" s="50"/>
      <c r="J673" s="26"/>
      <c r="K673" s="26"/>
      <c r="M673" s="27"/>
    </row>
    <row r="674" spans="8:13" x14ac:dyDescent="0.3">
      <c r="H674" s="50"/>
      <c r="I674" s="50"/>
      <c r="J674" s="26"/>
      <c r="K674" s="26"/>
      <c r="M674" s="27"/>
    </row>
    <row r="675" spans="8:13" x14ac:dyDescent="0.3">
      <c r="H675" s="50"/>
      <c r="I675" s="50"/>
      <c r="J675" s="26"/>
      <c r="K675" s="26"/>
      <c r="M675" s="27"/>
    </row>
    <row r="676" spans="8:13" x14ac:dyDescent="0.3">
      <c r="H676" s="50"/>
      <c r="I676" s="50"/>
      <c r="J676" s="26"/>
      <c r="K676" s="26"/>
      <c r="M676" s="27"/>
    </row>
    <row r="677" spans="8:13" x14ac:dyDescent="0.3">
      <c r="H677" s="50"/>
      <c r="I677" s="50"/>
      <c r="J677" s="26"/>
      <c r="K677" s="26"/>
      <c r="M677" s="27"/>
    </row>
    <row r="678" spans="8:13" x14ac:dyDescent="0.3">
      <c r="H678" s="50"/>
      <c r="I678" s="50"/>
      <c r="J678" s="26"/>
      <c r="K678" s="26"/>
      <c r="M678" s="27"/>
    </row>
    <row r="679" spans="8:13" x14ac:dyDescent="0.3">
      <c r="H679" s="50"/>
      <c r="I679" s="50"/>
      <c r="J679" s="26"/>
      <c r="K679" s="26"/>
      <c r="M679" s="27"/>
    </row>
    <row r="680" spans="8:13" x14ac:dyDescent="0.3">
      <c r="H680" s="50"/>
      <c r="I680" s="50"/>
      <c r="J680" s="26"/>
      <c r="K680" s="26"/>
      <c r="M680" s="27"/>
    </row>
    <row r="681" spans="8:13" x14ac:dyDescent="0.3">
      <c r="H681" s="50"/>
      <c r="I681" s="50"/>
      <c r="J681" s="26"/>
      <c r="K681" s="26"/>
      <c r="M681" s="27"/>
    </row>
    <row r="682" spans="8:13" x14ac:dyDescent="0.3">
      <c r="H682" s="50"/>
      <c r="I682" s="50"/>
      <c r="J682" s="26"/>
      <c r="K682" s="26"/>
      <c r="M682" s="27"/>
    </row>
    <row r="683" spans="8:13" x14ac:dyDescent="0.3">
      <c r="H683" s="50"/>
      <c r="I683" s="50"/>
      <c r="J683" s="26"/>
      <c r="K683" s="26"/>
      <c r="M683" s="27"/>
    </row>
    <row r="684" spans="8:13" x14ac:dyDescent="0.3">
      <c r="H684" s="50"/>
      <c r="I684" s="50"/>
      <c r="J684" s="26"/>
      <c r="K684" s="26"/>
      <c r="M684" s="27"/>
    </row>
    <row r="685" spans="8:13" x14ac:dyDescent="0.3">
      <c r="H685" s="50"/>
      <c r="I685" s="50"/>
      <c r="J685" s="26"/>
      <c r="K685" s="26"/>
      <c r="M685" s="27"/>
    </row>
    <row r="686" spans="8:13" x14ac:dyDescent="0.3">
      <c r="H686" s="50"/>
      <c r="I686" s="50"/>
      <c r="J686" s="26"/>
      <c r="K686" s="26"/>
      <c r="M686" s="27"/>
    </row>
    <row r="687" spans="8:13" x14ac:dyDescent="0.3">
      <c r="H687" s="50"/>
      <c r="I687" s="50"/>
      <c r="J687" s="26"/>
      <c r="K687" s="26"/>
      <c r="M687" s="27"/>
    </row>
    <row r="688" spans="8:13" x14ac:dyDescent="0.3">
      <c r="H688" s="50"/>
      <c r="I688" s="50"/>
      <c r="J688" s="26"/>
      <c r="K688" s="26"/>
      <c r="M688" s="27"/>
    </row>
    <row r="689" spans="8:13" x14ac:dyDescent="0.3">
      <c r="H689" s="50"/>
      <c r="I689" s="50"/>
      <c r="J689" s="26"/>
      <c r="K689" s="26"/>
      <c r="M689" s="27"/>
    </row>
    <row r="690" spans="8:13" x14ac:dyDescent="0.3">
      <c r="H690" s="50"/>
      <c r="I690" s="50"/>
      <c r="J690" s="26"/>
      <c r="K690" s="26"/>
      <c r="M690" s="27"/>
    </row>
    <row r="691" spans="8:13" x14ac:dyDescent="0.3">
      <c r="H691" s="50"/>
      <c r="I691" s="50"/>
      <c r="J691" s="26"/>
      <c r="K691" s="26"/>
      <c r="M691" s="27"/>
    </row>
    <row r="692" spans="8:13" x14ac:dyDescent="0.3">
      <c r="H692" s="50"/>
      <c r="I692" s="50"/>
      <c r="J692" s="26"/>
      <c r="K692" s="26"/>
      <c r="M692" s="27"/>
    </row>
    <row r="693" spans="8:13" x14ac:dyDescent="0.3">
      <c r="H693" s="50"/>
      <c r="I693" s="50"/>
      <c r="J693" s="26"/>
      <c r="K693" s="26"/>
      <c r="M693" s="27"/>
    </row>
    <row r="694" spans="8:13" x14ac:dyDescent="0.3">
      <c r="H694" s="50"/>
      <c r="I694" s="50"/>
      <c r="J694" s="26"/>
      <c r="K694" s="26"/>
      <c r="M694" s="27"/>
    </row>
    <row r="695" spans="8:13" x14ac:dyDescent="0.3">
      <c r="H695" s="50"/>
      <c r="I695" s="50"/>
      <c r="J695" s="26"/>
      <c r="K695" s="26"/>
      <c r="M695" s="27"/>
    </row>
    <row r="696" spans="8:13" x14ac:dyDescent="0.3">
      <c r="H696" s="50"/>
      <c r="I696" s="50"/>
      <c r="J696" s="26"/>
      <c r="K696" s="26"/>
      <c r="M696" s="27"/>
    </row>
    <row r="697" spans="8:13" x14ac:dyDescent="0.3">
      <c r="H697" s="50"/>
      <c r="I697" s="50"/>
      <c r="J697" s="26"/>
      <c r="K697" s="26"/>
      <c r="M697" s="27"/>
    </row>
    <row r="698" spans="8:13" x14ac:dyDescent="0.3">
      <c r="H698" s="50"/>
      <c r="I698" s="50"/>
      <c r="J698" s="26"/>
      <c r="K698" s="26"/>
      <c r="M698" s="27"/>
    </row>
    <row r="699" spans="8:13" x14ac:dyDescent="0.3">
      <c r="H699" s="50"/>
      <c r="I699" s="50"/>
      <c r="J699" s="26"/>
      <c r="K699" s="26"/>
      <c r="M699" s="27"/>
    </row>
    <row r="700" spans="8:13" x14ac:dyDescent="0.3">
      <c r="H700" s="50"/>
      <c r="I700" s="50"/>
      <c r="J700" s="26"/>
      <c r="K700" s="26"/>
      <c r="M700" s="27"/>
    </row>
    <row r="701" spans="8:13" x14ac:dyDescent="0.3">
      <c r="H701" s="50"/>
      <c r="I701" s="50"/>
      <c r="J701" s="26"/>
      <c r="K701" s="26"/>
      <c r="M701" s="27"/>
    </row>
    <row r="702" spans="8:13" x14ac:dyDescent="0.3">
      <c r="H702" s="50"/>
      <c r="I702" s="50"/>
      <c r="J702" s="26"/>
      <c r="K702" s="26"/>
      <c r="M702" s="27"/>
    </row>
    <row r="703" spans="8:13" x14ac:dyDescent="0.3">
      <c r="H703" s="50"/>
      <c r="I703" s="50"/>
      <c r="J703" s="26"/>
      <c r="K703" s="26"/>
      <c r="M703" s="27"/>
    </row>
    <row r="704" spans="8:13" x14ac:dyDescent="0.3">
      <c r="H704" s="50"/>
      <c r="I704" s="50"/>
      <c r="J704" s="26"/>
      <c r="K704" s="26"/>
      <c r="M704" s="27"/>
    </row>
    <row r="705" spans="8:13" x14ac:dyDescent="0.3">
      <c r="H705" s="50"/>
      <c r="I705" s="50"/>
      <c r="J705" s="26"/>
      <c r="K705" s="26"/>
      <c r="M705" s="27"/>
    </row>
    <row r="706" spans="8:13" x14ac:dyDescent="0.3">
      <c r="H706" s="50"/>
      <c r="I706" s="50"/>
      <c r="J706" s="26"/>
      <c r="K706" s="26"/>
      <c r="M706" s="27"/>
    </row>
    <row r="707" spans="8:13" x14ac:dyDescent="0.3">
      <c r="H707" s="50"/>
      <c r="I707" s="50"/>
      <c r="J707" s="26"/>
      <c r="K707" s="26"/>
      <c r="M707" s="27"/>
    </row>
    <row r="708" spans="8:13" x14ac:dyDescent="0.3">
      <c r="H708" s="50"/>
      <c r="I708" s="50"/>
      <c r="J708" s="26"/>
      <c r="K708" s="26"/>
      <c r="M708" s="27"/>
    </row>
    <row r="709" spans="8:13" x14ac:dyDescent="0.3">
      <c r="H709" s="50"/>
      <c r="I709" s="50"/>
      <c r="J709" s="26"/>
      <c r="K709" s="26"/>
      <c r="M709" s="27"/>
    </row>
    <row r="710" spans="8:13" x14ac:dyDescent="0.3">
      <c r="H710" s="50"/>
      <c r="I710" s="50"/>
      <c r="J710" s="26"/>
      <c r="K710" s="26"/>
      <c r="M710" s="27"/>
    </row>
    <row r="711" spans="8:13" x14ac:dyDescent="0.3">
      <c r="H711" s="50"/>
      <c r="I711" s="50"/>
      <c r="J711" s="26"/>
      <c r="K711" s="26"/>
      <c r="M711" s="27"/>
    </row>
    <row r="712" spans="8:13" x14ac:dyDescent="0.3">
      <c r="H712" s="50"/>
      <c r="I712" s="50"/>
      <c r="J712" s="26"/>
      <c r="K712" s="26"/>
      <c r="M712" s="27"/>
    </row>
    <row r="713" spans="8:13" x14ac:dyDescent="0.3">
      <c r="H713" s="50"/>
      <c r="I713" s="50"/>
      <c r="J713" s="26"/>
      <c r="K713" s="26"/>
      <c r="M713" s="27"/>
    </row>
    <row r="714" spans="8:13" x14ac:dyDescent="0.3">
      <c r="H714" s="50"/>
      <c r="I714" s="50"/>
      <c r="J714" s="26"/>
      <c r="K714" s="26"/>
      <c r="M714" s="27"/>
    </row>
    <row r="715" spans="8:13" x14ac:dyDescent="0.3">
      <c r="H715" s="50"/>
      <c r="I715" s="50"/>
      <c r="J715" s="26"/>
      <c r="K715" s="26"/>
      <c r="M715" s="27"/>
    </row>
    <row r="716" spans="8:13" x14ac:dyDescent="0.3">
      <c r="H716" s="50"/>
      <c r="I716" s="50"/>
      <c r="J716" s="26"/>
      <c r="K716" s="26"/>
      <c r="M716" s="27"/>
    </row>
    <row r="717" spans="8:13" x14ac:dyDescent="0.3">
      <c r="H717" s="50"/>
      <c r="I717" s="50"/>
      <c r="J717" s="26"/>
      <c r="K717" s="26"/>
      <c r="M717" s="27"/>
    </row>
    <row r="718" spans="8:13" x14ac:dyDescent="0.3">
      <c r="H718" s="50"/>
      <c r="I718" s="50"/>
      <c r="J718" s="26"/>
      <c r="K718" s="26"/>
      <c r="M718" s="27"/>
    </row>
    <row r="719" spans="8:13" x14ac:dyDescent="0.3">
      <c r="H719" s="50"/>
      <c r="I719" s="50"/>
      <c r="J719" s="26"/>
      <c r="K719" s="26"/>
      <c r="M719" s="27"/>
    </row>
    <row r="720" spans="8:13" x14ac:dyDescent="0.3">
      <c r="H720" s="50"/>
      <c r="I720" s="50"/>
      <c r="J720" s="26"/>
      <c r="K720" s="26"/>
      <c r="M720" s="27"/>
    </row>
    <row r="721" spans="8:13" x14ac:dyDescent="0.3">
      <c r="H721" s="50"/>
      <c r="I721" s="50"/>
      <c r="J721" s="26"/>
      <c r="K721" s="26"/>
      <c r="M721" s="27"/>
    </row>
    <row r="722" spans="8:13" x14ac:dyDescent="0.3">
      <c r="H722" s="50"/>
      <c r="I722" s="50"/>
      <c r="J722" s="26"/>
      <c r="K722" s="26"/>
      <c r="M722" s="27"/>
    </row>
    <row r="723" spans="8:13" x14ac:dyDescent="0.3">
      <c r="H723" s="50"/>
      <c r="I723" s="50"/>
      <c r="J723" s="26"/>
      <c r="K723" s="26"/>
      <c r="M723" s="27"/>
    </row>
    <row r="724" spans="8:13" x14ac:dyDescent="0.3">
      <c r="H724" s="50"/>
      <c r="I724" s="50"/>
      <c r="J724" s="26"/>
      <c r="K724" s="26"/>
      <c r="M724" s="27"/>
    </row>
    <row r="725" spans="8:13" x14ac:dyDescent="0.3">
      <c r="H725" s="50"/>
      <c r="I725" s="50"/>
      <c r="J725" s="26"/>
      <c r="K725" s="26"/>
      <c r="M725" s="27"/>
    </row>
    <row r="726" spans="8:13" x14ac:dyDescent="0.3">
      <c r="H726" s="50"/>
      <c r="I726" s="50"/>
      <c r="J726" s="26"/>
      <c r="K726" s="26"/>
      <c r="M726" s="27"/>
    </row>
    <row r="727" spans="8:13" x14ac:dyDescent="0.3">
      <c r="H727" s="50"/>
      <c r="I727" s="50"/>
      <c r="J727" s="26"/>
      <c r="K727" s="26"/>
      <c r="M727" s="27"/>
    </row>
    <row r="728" spans="8:13" x14ac:dyDescent="0.3">
      <c r="H728" s="50"/>
      <c r="I728" s="50"/>
      <c r="J728" s="26"/>
      <c r="K728" s="26"/>
      <c r="M728" s="27"/>
    </row>
    <row r="729" spans="8:13" x14ac:dyDescent="0.3">
      <c r="H729" s="50"/>
      <c r="I729" s="50"/>
      <c r="J729" s="26"/>
      <c r="K729" s="26"/>
      <c r="M729" s="27"/>
    </row>
    <row r="730" spans="8:13" x14ac:dyDescent="0.3">
      <c r="H730" s="50"/>
      <c r="I730" s="50"/>
      <c r="J730" s="26"/>
      <c r="K730" s="26"/>
      <c r="M730" s="27"/>
    </row>
    <row r="731" spans="8:13" x14ac:dyDescent="0.3">
      <c r="H731" s="50"/>
      <c r="I731" s="50"/>
      <c r="J731" s="26"/>
      <c r="K731" s="26"/>
      <c r="M731" s="27"/>
    </row>
    <row r="732" spans="8:13" x14ac:dyDescent="0.3">
      <c r="H732" s="50"/>
      <c r="I732" s="50"/>
      <c r="J732" s="26"/>
      <c r="K732" s="26"/>
      <c r="M732" s="27"/>
    </row>
    <row r="733" spans="8:13" x14ac:dyDescent="0.3">
      <c r="H733" s="50"/>
      <c r="I733" s="50"/>
      <c r="J733" s="26"/>
      <c r="K733" s="26"/>
      <c r="M733" s="27"/>
    </row>
    <row r="734" spans="8:13" x14ac:dyDescent="0.3">
      <c r="H734" s="50"/>
      <c r="I734" s="50"/>
      <c r="J734" s="26"/>
      <c r="K734" s="26"/>
      <c r="M734" s="27"/>
    </row>
    <row r="735" spans="8:13" x14ac:dyDescent="0.3">
      <c r="H735" s="50"/>
      <c r="I735" s="50"/>
      <c r="J735" s="26"/>
      <c r="K735" s="26"/>
      <c r="M735" s="27"/>
    </row>
    <row r="736" spans="8:13" x14ac:dyDescent="0.3">
      <c r="H736" s="50"/>
      <c r="I736" s="50"/>
      <c r="J736" s="26"/>
      <c r="K736" s="26"/>
      <c r="M736" s="27"/>
    </row>
    <row r="737" spans="8:13" x14ac:dyDescent="0.3">
      <c r="H737" s="50"/>
      <c r="I737" s="50"/>
      <c r="J737" s="26"/>
      <c r="K737" s="26"/>
      <c r="M737" s="27"/>
    </row>
    <row r="738" spans="8:13" x14ac:dyDescent="0.3">
      <c r="H738" s="50"/>
      <c r="I738" s="50"/>
      <c r="J738" s="26"/>
      <c r="K738" s="26"/>
      <c r="M738" s="27"/>
    </row>
    <row r="739" spans="8:13" x14ac:dyDescent="0.3">
      <c r="H739" s="50"/>
      <c r="I739" s="50"/>
      <c r="J739" s="26"/>
      <c r="K739" s="26"/>
      <c r="M739" s="27"/>
    </row>
    <row r="740" spans="8:13" x14ac:dyDescent="0.3">
      <c r="H740" s="50"/>
      <c r="I740" s="50"/>
      <c r="J740" s="26"/>
      <c r="K740" s="26"/>
      <c r="M740" s="27"/>
    </row>
    <row r="741" spans="8:13" x14ac:dyDescent="0.3">
      <c r="H741" s="50"/>
      <c r="I741" s="50"/>
      <c r="J741" s="26"/>
      <c r="K741" s="26"/>
      <c r="M741" s="27"/>
    </row>
    <row r="742" spans="8:13" x14ac:dyDescent="0.3">
      <c r="H742" s="50"/>
      <c r="I742" s="50"/>
      <c r="J742" s="26"/>
      <c r="K742" s="26"/>
      <c r="M742" s="27"/>
    </row>
    <row r="743" spans="8:13" x14ac:dyDescent="0.3">
      <c r="H743" s="50"/>
      <c r="I743" s="50"/>
      <c r="J743" s="26"/>
      <c r="K743" s="26"/>
      <c r="M743" s="27"/>
    </row>
    <row r="744" spans="8:13" x14ac:dyDescent="0.3">
      <c r="H744" s="50"/>
      <c r="I744" s="50"/>
      <c r="J744" s="26"/>
      <c r="K744" s="26"/>
      <c r="M744" s="27"/>
    </row>
    <row r="745" spans="8:13" x14ac:dyDescent="0.3">
      <c r="H745" s="50"/>
      <c r="I745" s="50"/>
      <c r="J745" s="26"/>
      <c r="K745" s="26"/>
      <c r="M745" s="27"/>
    </row>
    <row r="746" spans="8:13" x14ac:dyDescent="0.3">
      <c r="H746" s="50"/>
      <c r="I746" s="50"/>
      <c r="J746" s="26"/>
      <c r="K746" s="26"/>
      <c r="M746" s="27"/>
    </row>
    <row r="747" spans="8:13" x14ac:dyDescent="0.3">
      <c r="H747" s="50"/>
      <c r="I747" s="50"/>
      <c r="J747" s="26"/>
      <c r="K747" s="26"/>
      <c r="M747" s="27"/>
    </row>
    <row r="748" spans="8:13" x14ac:dyDescent="0.3">
      <c r="H748" s="50"/>
      <c r="I748" s="50"/>
      <c r="J748" s="26"/>
      <c r="K748" s="26"/>
      <c r="M748" s="27"/>
    </row>
    <row r="749" spans="8:13" x14ac:dyDescent="0.3">
      <c r="H749" s="50"/>
      <c r="I749" s="50"/>
      <c r="J749" s="26"/>
      <c r="K749" s="26"/>
      <c r="M749" s="27"/>
    </row>
    <row r="750" spans="8:13" x14ac:dyDescent="0.3">
      <c r="H750" s="50"/>
      <c r="I750" s="50"/>
      <c r="J750" s="26"/>
      <c r="K750" s="26"/>
      <c r="M750" s="27"/>
    </row>
    <row r="751" spans="8:13" x14ac:dyDescent="0.3">
      <c r="H751" s="50"/>
      <c r="I751" s="50"/>
      <c r="J751" s="26"/>
      <c r="K751" s="26"/>
      <c r="M751" s="27"/>
    </row>
    <row r="752" spans="8:13" x14ac:dyDescent="0.3">
      <c r="H752" s="50"/>
      <c r="I752" s="50"/>
      <c r="J752" s="26"/>
      <c r="K752" s="26"/>
      <c r="M752" s="27"/>
    </row>
    <row r="753" spans="8:13" x14ac:dyDescent="0.3">
      <c r="H753" s="50"/>
      <c r="I753" s="50"/>
      <c r="J753" s="26"/>
      <c r="K753" s="26"/>
      <c r="M753" s="27"/>
    </row>
    <row r="754" spans="8:13" x14ac:dyDescent="0.3">
      <c r="H754" s="50"/>
      <c r="I754" s="50"/>
      <c r="J754" s="26"/>
      <c r="K754" s="26"/>
      <c r="M754" s="27"/>
    </row>
    <row r="755" spans="8:13" x14ac:dyDescent="0.3">
      <c r="H755" s="50"/>
      <c r="I755" s="50"/>
      <c r="J755" s="26"/>
      <c r="K755" s="26"/>
      <c r="M755" s="27"/>
    </row>
    <row r="756" spans="8:13" x14ac:dyDescent="0.3">
      <c r="H756" s="50"/>
      <c r="I756" s="50"/>
      <c r="J756" s="26"/>
      <c r="K756" s="26"/>
      <c r="M756" s="27"/>
    </row>
    <row r="757" spans="8:13" x14ac:dyDescent="0.3">
      <c r="H757" s="50"/>
      <c r="I757" s="50"/>
      <c r="J757" s="26"/>
      <c r="K757" s="26"/>
      <c r="M757" s="27"/>
    </row>
    <row r="758" spans="8:13" x14ac:dyDescent="0.3">
      <c r="H758" s="50"/>
      <c r="I758" s="50"/>
      <c r="J758" s="26"/>
      <c r="K758" s="26"/>
      <c r="M758" s="27"/>
    </row>
    <row r="759" spans="8:13" x14ac:dyDescent="0.3">
      <c r="H759" s="50"/>
      <c r="I759" s="50"/>
      <c r="J759" s="26"/>
      <c r="K759" s="26"/>
      <c r="M759" s="27"/>
    </row>
    <row r="760" spans="8:13" x14ac:dyDescent="0.3">
      <c r="H760" s="50"/>
      <c r="I760" s="50"/>
      <c r="J760" s="26"/>
      <c r="K760" s="26"/>
      <c r="M760" s="27"/>
    </row>
    <row r="761" spans="8:13" x14ac:dyDescent="0.3">
      <c r="H761" s="50"/>
      <c r="I761" s="50"/>
      <c r="J761" s="26"/>
      <c r="K761" s="26"/>
      <c r="M761" s="27"/>
    </row>
    <row r="762" spans="8:13" x14ac:dyDescent="0.3">
      <c r="H762" s="50"/>
      <c r="I762" s="50"/>
      <c r="J762" s="26"/>
      <c r="K762" s="26"/>
      <c r="M762" s="27"/>
    </row>
    <row r="763" spans="8:13" x14ac:dyDescent="0.3">
      <c r="H763" s="50"/>
      <c r="I763" s="50"/>
      <c r="J763" s="26"/>
      <c r="K763" s="26"/>
      <c r="M763" s="27"/>
    </row>
    <row r="764" spans="8:13" x14ac:dyDescent="0.3">
      <c r="H764" s="50"/>
      <c r="I764" s="50"/>
      <c r="J764" s="26"/>
      <c r="K764" s="26"/>
      <c r="M764" s="27"/>
    </row>
    <row r="765" spans="8:13" x14ac:dyDescent="0.3">
      <c r="H765" s="50"/>
      <c r="I765" s="50"/>
      <c r="J765" s="26"/>
      <c r="K765" s="26"/>
      <c r="M765" s="27"/>
    </row>
    <row r="766" spans="8:13" x14ac:dyDescent="0.3">
      <c r="H766" s="50"/>
      <c r="I766" s="50"/>
      <c r="J766" s="26"/>
      <c r="K766" s="26"/>
      <c r="M766" s="27"/>
    </row>
    <row r="767" spans="8:13" x14ac:dyDescent="0.3">
      <c r="H767" s="50"/>
      <c r="I767" s="50"/>
      <c r="J767" s="26"/>
      <c r="K767" s="26"/>
      <c r="M767" s="27"/>
    </row>
    <row r="768" spans="8:13" x14ac:dyDescent="0.3">
      <c r="H768" s="50"/>
      <c r="I768" s="50"/>
      <c r="J768" s="26"/>
      <c r="K768" s="26"/>
      <c r="M768" s="27"/>
    </row>
    <row r="769" spans="8:13" x14ac:dyDescent="0.3">
      <c r="H769" s="50"/>
      <c r="I769" s="50"/>
      <c r="J769" s="26"/>
      <c r="K769" s="26"/>
      <c r="M769" s="27"/>
    </row>
    <row r="770" spans="8:13" x14ac:dyDescent="0.3">
      <c r="H770" s="50"/>
      <c r="I770" s="50"/>
      <c r="J770" s="26"/>
      <c r="K770" s="26"/>
      <c r="M770" s="27"/>
    </row>
    <row r="771" spans="8:13" x14ac:dyDescent="0.3">
      <c r="H771" s="50"/>
      <c r="I771" s="50"/>
      <c r="J771" s="26"/>
      <c r="K771" s="26"/>
      <c r="M771" s="27"/>
    </row>
    <row r="772" spans="8:13" x14ac:dyDescent="0.3">
      <c r="H772" s="50"/>
      <c r="I772" s="50"/>
      <c r="J772" s="26"/>
      <c r="K772" s="26"/>
      <c r="M772" s="27"/>
    </row>
    <row r="773" spans="8:13" x14ac:dyDescent="0.3">
      <c r="H773" s="50"/>
      <c r="I773" s="50"/>
      <c r="J773" s="26"/>
      <c r="K773" s="26"/>
      <c r="M773" s="27"/>
    </row>
    <row r="774" spans="8:13" x14ac:dyDescent="0.3">
      <c r="H774" s="50"/>
      <c r="I774" s="50"/>
      <c r="J774" s="26"/>
      <c r="K774" s="26"/>
      <c r="M774" s="27"/>
    </row>
    <row r="775" spans="8:13" x14ac:dyDescent="0.3">
      <c r="H775" s="50"/>
      <c r="I775" s="50"/>
      <c r="J775" s="26"/>
      <c r="K775" s="26"/>
      <c r="M775" s="27"/>
    </row>
    <row r="776" spans="8:13" x14ac:dyDescent="0.3">
      <c r="H776" s="50"/>
      <c r="I776" s="50"/>
      <c r="J776" s="26"/>
      <c r="K776" s="26"/>
      <c r="M776" s="27"/>
    </row>
    <row r="777" spans="8:13" x14ac:dyDescent="0.3">
      <c r="H777" s="50"/>
      <c r="I777" s="50"/>
      <c r="J777" s="26"/>
      <c r="K777" s="26"/>
      <c r="M777" s="27"/>
    </row>
    <row r="778" spans="8:13" x14ac:dyDescent="0.3">
      <c r="H778" s="50"/>
      <c r="I778" s="50"/>
      <c r="J778" s="26"/>
      <c r="K778" s="26"/>
      <c r="M778" s="27"/>
    </row>
    <row r="779" spans="8:13" x14ac:dyDescent="0.3">
      <c r="H779" s="50"/>
      <c r="I779" s="50"/>
      <c r="J779" s="26"/>
      <c r="K779" s="26"/>
      <c r="M779" s="27"/>
    </row>
    <row r="780" spans="8:13" x14ac:dyDescent="0.3">
      <c r="H780" s="50"/>
      <c r="I780" s="50"/>
      <c r="J780" s="26"/>
      <c r="K780" s="26"/>
      <c r="M780" s="27"/>
    </row>
    <row r="781" spans="8:13" x14ac:dyDescent="0.3">
      <c r="H781" s="50"/>
      <c r="I781" s="50"/>
      <c r="J781" s="26"/>
      <c r="K781" s="26"/>
      <c r="M781" s="27"/>
    </row>
    <row r="782" spans="8:13" x14ac:dyDescent="0.3">
      <c r="H782" s="50"/>
      <c r="I782" s="50"/>
      <c r="J782" s="26"/>
      <c r="K782" s="26"/>
      <c r="M782" s="27"/>
    </row>
    <row r="783" spans="8:13" x14ac:dyDescent="0.3">
      <c r="H783" s="50"/>
      <c r="I783" s="50"/>
      <c r="J783" s="26"/>
      <c r="K783" s="26"/>
      <c r="M783" s="27"/>
    </row>
    <row r="784" spans="8:13" x14ac:dyDescent="0.3">
      <c r="H784" s="50"/>
      <c r="I784" s="50"/>
      <c r="J784" s="26"/>
      <c r="K784" s="26"/>
      <c r="M784" s="27"/>
    </row>
    <row r="785" spans="8:13" x14ac:dyDescent="0.3">
      <c r="H785" s="50"/>
      <c r="I785" s="50"/>
      <c r="J785" s="26"/>
      <c r="K785" s="26"/>
      <c r="M785" s="27"/>
    </row>
    <row r="786" spans="8:13" x14ac:dyDescent="0.3">
      <c r="H786" s="50"/>
      <c r="I786" s="50"/>
      <c r="J786" s="26"/>
      <c r="K786" s="26"/>
      <c r="M786" s="27"/>
    </row>
    <row r="787" spans="8:13" x14ac:dyDescent="0.3">
      <c r="H787" s="50"/>
      <c r="I787" s="50"/>
      <c r="J787" s="26"/>
      <c r="K787" s="26"/>
      <c r="M787" s="27"/>
    </row>
    <row r="788" spans="8:13" x14ac:dyDescent="0.3">
      <c r="H788" s="50"/>
      <c r="I788" s="50"/>
      <c r="J788" s="26"/>
      <c r="K788" s="26"/>
      <c r="M788" s="27"/>
    </row>
    <row r="789" spans="8:13" x14ac:dyDescent="0.3">
      <c r="H789" s="50"/>
      <c r="I789" s="50"/>
      <c r="J789" s="26"/>
      <c r="K789" s="26"/>
      <c r="M789" s="27"/>
    </row>
    <row r="790" spans="8:13" x14ac:dyDescent="0.3">
      <c r="H790" s="50"/>
      <c r="I790" s="50"/>
      <c r="J790" s="26"/>
      <c r="K790" s="26"/>
      <c r="M790" s="27"/>
    </row>
    <row r="791" spans="8:13" x14ac:dyDescent="0.3">
      <c r="H791" s="50"/>
      <c r="I791" s="50"/>
      <c r="J791" s="26"/>
      <c r="K791" s="26"/>
      <c r="M791" s="27"/>
    </row>
    <row r="792" spans="8:13" x14ac:dyDescent="0.3">
      <c r="H792" s="50"/>
      <c r="I792" s="50"/>
      <c r="J792" s="26"/>
      <c r="K792" s="26"/>
      <c r="M792" s="27"/>
    </row>
    <row r="793" spans="8:13" x14ac:dyDescent="0.3">
      <c r="H793" s="50"/>
      <c r="I793" s="50"/>
      <c r="J793" s="26"/>
      <c r="K793" s="26"/>
      <c r="M793" s="27"/>
    </row>
    <row r="794" spans="8:13" x14ac:dyDescent="0.3">
      <c r="H794" s="50"/>
      <c r="I794" s="50"/>
      <c r="J794" s="26"/>
      <c r="K794" s="26"/>
      <c r="M794" s="27"/>
    </row>
    <row r="795" spans="8:13" x14ac:dyDescent="0.3">
      <c r="H795" s="50"/>
      <c r="I795" s="50"/>
      <c r="J795" s="26"/>
      <c r="K795" s="26"/>
      <c r="M795" s="27"/>
    </row>
    <row r="796" spans="8:13" x14ac:dyDescent="0.3">
      <c r="H796" s="50"/>
      <c r="I796" s="50"/>
      <c r="J796" s="26"/>
      <c r="K796" s="26"/>
      <c r="M796" s="27"/>
    </row>
    <row r="797" spans="8:13" x14ac:dyDescent="0.3">
      <c r="H797" s="50"/>
      <c r="I797" s="50"/>
      <c r="J797" s="26"/>
      <c r="K797" s="26"/>
      <c r="M797" s="27"/>
    </row>
    <row r="798" spans="8:13" x14ac:dyDescent="0.3">
      <c r="H798" s="50"/>
      <c r="I798" s="50"/>
      <c r="J798" s="26"/>
      <c r="K798" s="26"/>
      <c r="M798" s="27"/>
    </row>
    <row r="799" spans="8:13" x14ac:dyDescent="0.3">
      <c r="H799" s="50"/>
      <c r="I799" s="50"/>
      <c r="J799" s="26"/>
      <c r="K799" s="26"/>
      <c r="M799" s="27"/>
    </row>
    <row r="800" spans="8:13" x14ac:dyDescent="0.3">
      <c r="H800" s="50"/>
      <c r="I800" s="50"/>
      <c r="J800" s="26"/>
      <c r="K800" s="26"/>
      <c r="M800" s="27"/>
    </row>
    <row r="801" spans="8:13" x14ac:dyDescent="0.3">
      <c r="H801" s="50"/>
      <c r="I801" s="50"/>
      <c r="J801" s="26"/>
      <c r="K801" s="26"/>
      <c r="M801" s="27"/>
    </row>
    <row r="802" spans="8:13" x14ac:dyDescent="0.3">
      <c r="H802" s="50"/>
      <c r="I802" s="50"/>
      <c r="J802" s="26"/>
      <c r="K802" s="26"/>
      <c r="M802" s="27"/>
    </row>
    <row r="803" spans="8:13" x14ac:dyDescent="0.3">
      <c r="H803" s="50"/>
      <c r="I803" s="50"/>
      <c r="J803" s="26"/>
      <c r="K803" s="26"/>
      <c r="M803" s="27"/>
    </row>
    <row r="804" spans="8:13" x14ac:dyDescent="0.3">
      <c r="H804" s="50"/>
      <c r="I804" s="50"/>
      <c r="J804" s="26"/>
      <c r="K804" s="26"/>
      <c r="M804" s="27"/>
    </row>
    <row r="805" spans="8:13" x14ac:dyDescent="0.3">
      <c r="H805" s="50"/>
      <c r="I805" s="50"/>
      <c r="J805" s="26"/>
      <c r="K805" s="26"/>
      <c r="M805" s="27"/>
    </row>
    <row r="806" spans="8:13" x14ac:dyDescent="0.3">
      <c r="H806" s="50"/>
      <c r="I806" s="50"/>
      <c r="J806" s="26"/>
      <c r="K806" s="26"/>
      <c r="M806" s="27"/>
    </row>
    <row r="807" spans="8:13" x14ac:dyDescent="0.3">
      <c r="H807" s="50"/>
      <c r="I807" s="50"/>
      <c r="J807" s="26"/>
      <c r="K807" s="26"/>
      <c r="M807" s="27"/>
    </row>
    <row r="808" spans="8:13" x14ac:dyDescent="0.3">
      <c r="H808" s="50"/>
      <c r="I808" s="50"/>
      <c r="J808" s="26"/>
      <c r="K808" s="26"/>
      <c r="M808" s="27"/>
    </row>
    <row r="809" spans="8:13" x14ac:dyDescent="0.3">
      <c r="H809" s="50"/>
      <c r="I809" s="50"/>
      <c r="J809" s="26"/>
      <c r="K809" s="26"/>
      <c r="M809" s="27"/>
    </row>
    <row r="810" spans="8:13" x14ac:dyDescent="0.3">
      <c r="H810" s="50"/>
      <c r="I810" s="50"/>
      <c r="J810" s="26"/>
      <c r="K810" s="26"/>
      <c r="M810" s="27"/>
    </row>
    <row r="811" spans="8:13" x14ac:dyDescent="0.3">
      <c r="H811" s="50"/>
      <c r="I811" s="50"/>
      <c r="J811" s="26"/>
      <c r="K811" s="26"/>
      <c r="M811" s="27"/>
    </row>
    <row r="812" spans="8:13" x14ac:dyDescent="0.3">
      <c r="H812" s="50"/>
      <c r="I812" s="50"/>
      <c r="J812" s="26"/>
      <c r="K812" s="26"/>
      <c r="M812" s="27"/>
    </row>
    <row r="813" spans="8:13" x14ac:dyDescent="0.3">
      <c r="H813" s="50"/>
      <c r="I813" s="50"/>
      <c r="J813" s="26"/>
      <c r="K813" s="26"/>
      <c r="M813" s="27"/>
    </row>
    <row r="814" spans="8:13" x14ac:dyDescent="0.3">
      <c r="H814" s="50"/>
      <c r="I814" s="50"/>
      <c r="J814" s="26"/>
      <c r="K814" s="26"/>
      <c r="M814" s="27"/>
    </row>
    <row r="815" spans="8:13" x14ac:dyDescent="0.3">
      <c r="H815" s="50"/>
      <c r="I815" s="50"/>
      <c r="J815" s="26"/>
      <c r="K815" s="26"/>
      <c r="M815" s="27"/>
    </row>
    <row r="816" spans="8:13" x14ac:dyDescent="0.3">
      <c r="H816" s="50"/>
      <c r="I816" s="50"/>
      <c r="J816" s="26"/>
      <c r="K816" s="26"/>
      <c r="M816" s="27"/>
    </row>
    <row r="817" spans="8:13" x14ac:dyDescent="0.3">
      <c r="H817" s="50"/>
      <c r="I817" s="50"/>
      <c r="J817" s="26"/>
      <c r="K817" s="26"/>
      <c r="M817" s="27"/>
    </row>
    <row r="818" spans="8:13" x14ac:dyDescent="0.3">
      <c r="H818" s="50"/>
      <c r="I818" s="50"/>
      <c r="J818" s="26"/>
      <c r="K818" s="26"/>
      <c r="M818" s="27"/>
    </row>
    <row r="819" spans="8:13" x14ac:dyDescent="0.3">
      <c r="H819" s="50"/>
      <c r="I819" s="50"/>
      <c r="J819" s="26"/>
      <c r="K819" s="26"/>
      <c r="M819" s="27"/>
    </row>
    <row r="820" spans="8:13" x14ac:dyDescent="0.3">
      <c r="H820" s="50"/>
      <c r="I820" s="50"/>
      <c r="J820" s="26"/>
      <c r="K820" s="26"/>
      <c r="M820" s="27"/>
    </row>
    <row r="821" spans="8:13" x14ac:dyDescent="0.3">
      <c r="H821" s="50"/>
      <c r="I821" s="50"/>
      <c r="J821" s="26"/>
      <c r="K821" s="26"/>
      <c r="M821" s="27"/>
    </row>
    <row r="822" spans="8:13" x14ac:dyDescent="0.3">
      <c r="H822" s="50"/>
      <c r="I822" s="50"/>
      <c r="J822" s="26"/>
      <c r="K822" s="26"/>
      <c r="M822" s="27"/>
    </row>
    <row r="823" spans="8:13" x14ac:dyDescent="0.3">
      <c r="H823" s="50"/>
      <c r="I823" s="50"/>
      <c r="J823" s="26"/>
      <c r="K823" s="26"/>
      <c r="M823" s="27"/>
    </row>
    <row r="824" spans="8:13" x14ac:dyDescent="0.3">
      <c r="H824" s="50"/>
      <c r="I824" s="50"/>
      <c r="J824" s="26"/>
      <c r="K824" s="26"/>
      <c r="M824" s="27"/>
    </row>
    <row r="825" spans="8:13" x14ac:dyDescent="0.3">
      <c r="H825" s="50"/>
      <c r="I825" s="50"/>
      <c r="J825" s="26"/>
      <c r="K825" s="26"/>
      <c r="M825" s="27"/>
    </row>
    <row r="826" spans="8:13" x14ac:dyDescent="0.3">
      <c r="H826" s="50"/>
      <c r="I826" s="50"/>
      <c r="J826" s="26"/>
      <c r="K826" s="26"/>
      <c r="M826" s="27"/>
    </row>
    <row r="827" spans="8:13" x14ac:dyDescent="0.3">
      <c r="H827" s="50"/>
      <c r="I827" s="50"/>
      <c r="J827" s="26"/>
      <c r="K827" s="26"/>
      <c r="M827" s="27"/>
    </row>
    <row r="828" spans="8:13" x14ac:dyDescent="0.3">
      <c r="H828" s="50"/>
      <c r="I828" s="50"/>
      <c r="J828" s="26"/>
      <c r="K828" s="26"/>
      <c r="M828" s="27"/>
    </row>
    <row r="829" spans="8:13" x14ac:dyDescent="0.3">
      <c r="H829" s="50"/>
      <c r="I829" s="50"/>
      <c r="J829" s="26"/>
      <c r="K829" s="26"/>
      <c r="M829" s="27"/>
    </row>
    <row r="830" spans="8:13" x14ac:dyDescent="0.3">
      <c r="H830" s="50"/>
      <c r="I830" s="50"/>
      <c r="J830" s="26"/>
      <c r="K830" s="26"/>
      <c r="M830" s="27"/>
    </row>
    <row r="831" spans="8:13" x14ac:dyDescent="0.3">
      <c r="H831" s="50"/>
      <c r="I831" s="50"/>
      <c r="J831" s="26"/>
      <c r="K831" s="26"/>
      <c r="M831" s="27"/>
    </row>
    <row r="832" spans="8:13" x14ac:dyDescent="0.3">
      <c r="H832" s="50"/>
      <c r="I832" s="50"/>
      <c r="J832" s="26"/>
      <c r="K832" s="26"/>
      <c r="M832" s="27"/>
    </row>
    <row r="833" spans="8:13" x14ac:dyDescent="0.3">
      <c r="H833" s="50"/>
      <c r="I833" s="50"/>
      <c r="J833" s="26"/>
      <c r="K833" s="26"/>
      <c r="M833" s="27"/>
    </row>
    <row r="834" spans="8:13" x14ac:dyDescent="0.3">
      <c r="H834" s="50"/>
      <c r="I834" s="50"/>
      <c r="J834" s="26"/>
      <c r="K834" s="26"/>
      <c r="M834" s="27"/>
    </row>
    <row r="835" spans="8:13" x14ac:dyDescent="0.3">
      <c r="H835" s="50"/>
      <c r="I835" s="50"/>
      <c r="J835" s="26"/>
      <c r="K835" s="26"/>
      <c r="M835" s="27"/>
    </row>
    <row r="836" spans="8:13" x14ac:dyDescent="0.3">
      <c r="H836" s="50"/>
      <c r="I836" s="50"/>
      <c r="J836" s="26"/>
      <c r="K836" s="26"/>
      <c r="M836" s="27"/>
    </row>
    <row r="837" spans="8:13" x14ac:dyDescent="0.3">
      <c r="H837" s="50"/>
      <c r="I837" s="50"/>
      <c r="J837" s="26"/>
      <c r="K837" s="26"/>
      <c r="M837" s="27"/>
    </row>
    <row r="838" spans="8:13" x14ac:dyDescent="0.3">
      <c r="H838" s="50"/>
      <c r="I838" s="50"/>
      <c r="J838" s="26"/>
      <c r="K838" s="26"/>
      <c r="M838" s="27"/>
    </row>
    <row r="839" spans="8:13" x14ac:dyDescent="0.3">
      <c r="H839" s="50"/>
      <c r="I839" s="50"/>
      <c r="J839" s="26"/>
      <c r="K839" s="26"/>
      <c r="M839" s="27"/>
    </row>
    <row r="840" spans="8:13" x14ac:dyDescent="0.3">
      <c r="H840" s="50"/>
      <c r="I840" s="50"/>
      <c r="J840" s="26"/>
      <c r="K840" s="26"/>
      <c r="M840" s="27"/>
    </row>
    <row r="841" spans="8:13" x14ac:dyDescent="0.3">
      <c r="H841" s="50"/>
      <c r="I841" s="50"/>
      <c r="J841" s="26"/>
      <c r="K841" s="26"/>
      <c r="M841" s="27"/>
    </row>
    <row r="842" spans="8:13" x14ac:dyDescent="0.3">
      <c r="H842" s="50"/>
      <c r="I842" s="50"/>
      <c r="J842" s="26"/>
      <c r="K842" s="26"/>
      <c r="M842" s="27"/>
    </row>
    <row r="843" spans="8:13" x14ac:dyDescent="0.3">
      <c r="H843" s="50"/>
      <c r="I843" s="50"/>
      <c r="J843" s="26"/>
      <c r="K843" s="26"/>
      <c r="M843" s="27"/>
    </row>
    <row r="844" spans="8:13" x14ac:dyDescent="0.3">
      <c r="H844" s="50"/>
      <c r="I844" s="50"/>
      <c r="J844" s="26"/>
      <c r="K844" s="26"/>
      <c r="M844" s="27"/>
    </row>
    <row r="845" spans="8:13" x14ac:dyDescent="0.3">
      <c r="H845" s="50"/>
      <c r="I845" s="50"/>
      <c r="J845" s="26"/>
      <c r="K845" s="26"/>
      <c r="M845" s="27"/>
    </row>
    <row r="846" spans="8:13" x14ac:dyDescent="0.3">
      <c r="H846" s="50"/>
      <c r="I846" s="50"/>
      <c r="J846" s="26"/>
      <c r="K846" s="26"/>
      <c r="M846" s="27"/>
    </row>
    <row r="847" spans="8:13" x14ac:dyDescent="0.3">
      <c r="H847" s="50"/>
      <c r="I847" s="50"/>
      <c r="J847" s="26"/>
      <c r="K847" s="26"/>
      <c r="M847" s="27"/>
    </row>
    <row r="848" spans="8:13" x14ac:dyDescent="0.3">
      <c r="H848" s="50"/>
      <c r="I848" s="50"/>
      <c r="J848" s="26"/>
      <c r="K848" s="26"/>
      <c r="M848" s="27"/>
    </row>
    <row r="849" spans="8:13" x14ac:dyDescent="0.3">
      <c r="H849" s="50"/>
      <c r="I849" s="50"/>
      <c r="J849" s="26"/>
      <c r="K849" s="26"/>
      <c r="M849" s="27"/>
    </row>
    <row r="850" spans="8:13" x14ac:dyDescent="0.3">
      <c r="H850" s="50"/>
      <c r="I850" s="50"/>
      <c r="J850" s="26"/>
      <c r="K850" s="26"/>
      <c r="M850" s="27"/>
    </row>
    <row r="851" spans="8:13" x14ac:dyDescent="0.3">
      <c r="H851" s="50"/>
      <c r="I851" s="50"/>
      <c r="J851" s="26"/>
      <c r="K851" s="26"/>
      <c r="M851" s="27"/>
    </row>
    <row r="852" spans="8:13" x14ac:dyDescent="0.3">
      <c r="H852" s="50"/>
      <c r="I852" s="50"/>
      <c r="J852" s="26"/>
      <c r="K852" s="26"/>
      <c r="M852" s="27"/>
    </row>
    <row r="853" spans="8:13" x14ac:dyDescent="0.3">
      <c r="H853" s="50"/>
      <c r="I853" s="50"/>
      <c r="J853" s="26"/>
      <c r="K853" s="26"/>
      <c r="M853" s="27"/>
    </row>
    <row r="854" spans="8:13" x14ac:dyDescent="0.3">
      <c r="H854" s="50"/>
      <c r="I854" s="50"/>
      <c r="J854" s="26"/>
      <c r="K854" s="26"/>
      <c r="M854" s="27"/>
    </row>
    <row r="855" spans="8:13" x14ac:dyDescent="0.3">
      <c r="H855" s="50"/>
      <c r="I855" s="50"/>
      <c r="J855" s="26"/>
      <c r="K855" s="26"/>
      <c r="M855" s="27"/>
    </row>
    <row r="856" spans="8:13" x14ac:dyDescent="0.3">
      <c r="H856" s="50"/>
      <c r="I856" s="50"/>
      <c r="J856" s="26"/>
      <c r="K856" s="26"/>
      <c r="M856" s="27"/>
    </row>
    <row r="857" spans="8:13" x14ac:dyDescent="0.3">
      <c r="H857" s="50"/>
      <c r="I857" s="50"/>
      <c r="J857" s="26"/>
      <c r="K857" s="26"/>
      <c r="M857" s="27"/>
    </row>
    <row r="858" spans="8:13" x14ac:dyDescent="0.3">
      <c r="H858" s="50"/>
      <c r="I858" s="50"/>
      <c r="J858" s="26"/>
      <c r="K858" s="26"/>
      <c r="M858" s="27"/>
    </row>
    <row r="859" spans="8:13" x14ac:dyDescent="0.3">
      <c r="H859" s="50"/>
      <c r="I859" s="50"/>
      <c r="J859" s="26"/>
      <c r="K859" s="26"/>
      <c r="M859" s="27"/>
    </row>
    <row r="860" spans="8:13" x14ac:dyDescent="0.3">
      <c r="H860" s="50"/>
      <c r="I860" s="50"/>
      <c r="J860" s="26"/>
      <c r="K860" s="26"/>
      <c r="M860" s="27"/>
    </row>
    <row r="861" spans="8:13" x14ac:dyDescent="0.3">
      <c r="H861" s="50"/>
      <c r="I861" s="50"/>
      <c r="J861" s="26"/>
      <c r="K861" s="26"/>
      <c r="M861" s="27"/>
    </row>
    <row r="862" spans="8:13" x14ac:dyDescent="0.3">
      <c r="H862" s="50"/>
      <c r="I862" s="50"/>
      <c r="J862" s="26"/>
      <c r="K862" s="26"/>
      <c r="M862" s="27"/>
    </row>
    <row r="863" spans="8:13" x14ac:dyDescent="0.3">
      <c r="H863" s="50"/>
      <c r="I863" s="50"/>
      <c r="J863" s="26"/>
      <c r="K863" s="26"/>
      <c r="M863" s="27"/>
    </row>
    <row r="864" spans="8:13" x14ac:dyDescent="0.3">
      <c r="H864" s="50"/>
      <c r="I864" s="50"/>
      <c r="J864" s="26"/>
      <c r="K864" s="26"/>
      <c r="M864" s="27"/>
    </row>
    <row r="865" spans="8:13" x14ac:dyDescent="0.3">
      <c r="H865" s="50"/>
      <c r="I865" s="50"/>
      <c r="J865" s="26"/>
      <c r="K865" s="26"/>
      <c r="M865" s="27"/>
    </row>
    <row r="866" spans="8:13" x14ac:dyDescent="0.3">
      <c r="H866" s="50"/>
      <c r="I866" s="50"/>
      <c r="J866" s="26"/>
      <c r="K866" s="26"/>
      <c r="M866" s="27"/>
    </row>
    <row r="867" spans="8:13" x14ac:dyDescent="0.3">
      <c r="H867" s="50"/>
      <c r="I867" s="50"/>
      <c r="J867" s="26"/>
      <c r="K867" s="26"/>
      <c r="M867" s="27"/>
    </row>
    <row r="868" spans="8:13" x14ac:dyDescent="0.3">
      <c r="H868" s="50"/>
      <c r="I868" s="50"/>
      <c r="J868" s="26"/>
      <c r="K868" s="26"/>
      <c r="M868" s="27"/>
    </row>
    <row r="869" spans="8:13" x14ac:dyDescent="0.3">
      <c r="H869" s="50"/>
      <c r="I869" s="50"/>
      <c r="J869" s="26"/>
      <c r="K869" s="26"/>
      <c r="M869" s="27"/>
    </row>
    <row r="870" spans="8:13" x14ac:dyDescent="0.3">
      <c r="H870" s="50"/>
      <c r="I870" s="50"/>
      <c r="J870" s="26"/>
      <c r="K870" s="26"/>
      <c r="M870" s="27"/>
    </row>
    <row r="871" spans="8:13" x14ac:dyDescent="0.3">
      <c r="H871" s="50"/>
      <c r="I871" s="50"/>
      <c r="J871" s="26"/>
      <c r="K871" s="26"/>
      <c r="M871" s="27"/>
    </row>
    <row r="872" spans="8:13" x14ac:dyDescent="0.3">
      <c r="H872" s="50"/>
      <c r="I872" s="50"/>
      <c r="J872" s="26"/>
      <c r="K872" s="26"/>
      <c r="M872" s="27"/>
    </row>
    <row r="873" spans="8:13" x14ac:dyDescent="0.3">
      <c r="H873" s="50"/>
      <c r="I873" s="50"/>
      <c r="J873" s="26"/>
      <c r="K873" s="26"/>
      <c r="M873" s="27"/>
    </row>
    <row r="874" spans="8:13" x14ac:dyDescent="0.3">
      <c r="H874" s="50"/>
      <c r="I874" s="50"/>
      <c r="J874" s="26"/>
      <c r="K874" s="26"/>
      <c r="M874" s="27"/>
    </row>
    <row r="875" spans="8:13" x14ac:dyDescent="0.3">
      <c r="H875" s="50"/>
      <c r="I875" s="50"/>
      <c r="J875" s="26"/>
      <c r="K875" s="26"/>
      <c r="M875" s="27"/>
    </row>
    <row r="876" spans="8:13" x14ac:dyDescent="0.3">
      <c r="H876" s="50"/>
      <c r="I876" s="50"/>
      <c r="J876" s="26"/>
      <c r="K876" s="26"/>
      <c r="M876" s="27"/>
    </row>
    <row r="877" spans="8:13" x14ac:dyDescent="0.3">
      <c r="H877" s="50"/>
      <c r="I877" s="50"/>
      <c r="J877" s="26"/>
      <c r="K877" s="26"/>
      <c r="M877" s="27"/>
    </row>
    <row r="878" spans="8:13" x14ac:dyDescent="0.3">
      <c r="H878" s="50"/>
      <c r="I878" s="50"/>
      <c r="J878" s="26"/>
      <c r="K878" s="26"/>
      <c r="M878" s="27"/>
    </row>
    <row r="879" spans="8:13" x14ac:dyDescent="0.3">
      <c r="H879" s="50"/>
      <c r="I879" s="50"/>
      <c r="J879" s="26"/>
      <c r="K879" s="26"/>
      <c r="M879" s="27"/>
    </row>
    <row r="880" spans="8:13" x14ac:dyDescent="0.3">
      <c r="H880" s="50"/>
      <c r="I880" s="50"/>
      <c r="J880" s="26"/>
      <c r="K880" s="26"/>
      <c r="M880" s="27"/>
    </row>
    <row r="881" spans="8:13" x14ac:dyDescent="0.3">
      <c r="H881" s="50"/>
      <c r="I881" s="50"/>
      <c r="J881" s="26"/>
      <c r="K881" s="26"/>
      <c r="M881" s="27"/>
    </row>
    <row r="882" spans="8:13" x14ac:dyDescent="0.3">
      <c r="H882" s="50"/>
      <c r="I882" s="50"/>
      <c r="J882" s="26"/>
      <c r="K882" s="26"/>
      <c r="M882" s="27"/>
    </row>
    <row r="883" spans="8:13" x14ac:dyDescent="0.3">
      <c r="H883" s="50"/>
      <c r="I883" s="50"/>
      <c r="J883" s="26"/>
      <c r="K883" s="26"/>
      <c r="M883" s="27"/>
    </row>
    <row r="884" spans="8:13" x14ac:dyDescent="0.3">
      <c r="H884" s="50"/>
      <c r="I884" s="50"/>
      <c r="J884" s="26"/>
      <c r="K884" s="26"/>
      <c r="M884" s="27"/>
    </row>
    <row r="885" spans="8:13" x14ac:dyDescent="0.3">
      <c r="H885" s="50"/>
      <c r="I885" s="50"/>
      <c r="J885" s="26"/>
      <c r="K885" s="26"/>
      <c r="M885" s="27"/>
    </row>
    <row r="886" spans="8:13" x14ac:dyDescent="0.3">
      <c r="H886" s="50"/>
      <c r="I886" s="50"/>
      <c r="J886" s="26"/>
      <c r="K886" s="26"/>
      <c r="M886" s="27"/>
    </row>
    <row r="887" spans="8:13" x14ac:dyDescent="0.3">
      <c r="H887" s="50"/>
      <c r="I887" s="50"/>
      <c r="J887" s="26"/>
      <c r="K887" s="26"/>
      <c r="M887" s="27"/>
    </row>
    <row r="888" spans="8:13" x14ac:dyDescent="0.3">
      <c r="H888" s="50"/>
      <c r="I888" s="50"/>
      <c r="J888" s="26"/>
      <c r="K888" s="26"/>
      <c r="M888" s="27"/>
    </row>
    <row r="889" spans="8:13" x14ac:dyDescent="0.3">
      <c r="H889" s="50"/>
      <c r="I889" s="50"/>
      <c r="J889" s="26"/>
      <c r="K889" s="26"/>
      <c r="M889" s="27"/>
    </row>
    <row r="890" spans="8:13" x14ac:dyDescent="0.3">
      <c r="H890" s="50"/>
      <c r="I890" s="50"/>
      <c r="J890" s="26"/>
      <c r="K890" s="26"/>
      <c r="M890" s="27"/>
    </row>
    <row r="891" spans="8:13" x14ac:dyDescent="0.3">
      <c r="H891" s="50"/>
      <c r="I891" s="50"/>
      <c r="J891" s="26"/>
      <c r="K891" s="26"/>
      <c r="M891" s="27"/>
    </row>
    <row r="892" spans="8:13" x14ac:dyDescent="0.3">
      <c r="H892" s="50"/>
      <c r="I892" s="50"/>
      <c r="J892" s="26"/>
      <c r="K892" s="26"/>
      <c r="M892" s="27"/>
    </row>
    <row r="893" spans="8:13" x14ac:dyDescent="0.3">
      <c r="H893" s="50"/>
      <c r="I893" s="50"/>
      <c r="J893" s="26"/>
      <c r="K893" s="26"/>
      <c r="M893" s="27"/>
    </row>
    <row r="894" spans="8:13" x14ac:dyDescent="0.3">
      <c r="H894" s="50"/>
      <c r="I894" s="50"/>
      <c r="J894" s="26"/>
      <c r="K894" s="26"/>
      <c r="M894" s="27"/>
    </row>
    <row r="895" spans="8:13" x14ac:dyDescent="0.3">
      <c r="H895" s="50"/>
      <c r="I895" s="50"/>
      <c r="J895" s="26"/>
      <c r="K895" s="26"/>
      <c r="M895" s="27"/>
    </row>
    <row r="896" spans="8:13" x14ac:dyDescent="0.3">
      <c r="H896" s="50"/>
      <c r="I896" s="50"/>
      <c r="J896" s="26"/>
      <c r="K896" s="26"/>
      <c r="M896" s="27"/>
    </row>
    <row r="897" spans="8:13" x14ac:dyDescent="0.3">
      <c r="H897" s="50"/>
      <c r="I897" s="50"/>
      <c r="J897" s="26"/>
      <c r="K897" s="26"/>
      <c r="M897" s="27"/>
    </row>
    <row r="898" spans="8:13" x14ac:dyDescent="0.3">
      <c r="H898" s="50"/>
      <c r="I898" s="50"/>
      <c r="J898" s="26"/>
      <c r="K898" s="26"/>
      <c r="M898" s="27"/>
    </row>
    <row r="899" spans="8:13" x14ac:dyDescent="0.3">
      <c r="H899" s="50"/>
      <c r="I899" s="50"/>
      <c r="J899" s="26"/>
      <c r="K899" s="26"/>
      <c r="M899" s="27"/>
    </row>
    <row r="900" spans="8:13" x14ac:dyDescent="0.3">
      <c r="H900" s="50"/>
      <c r="I900" s="50"/>
      <c r="J900" s="26"/>
      <c r="K900" s="26"/>
      <c r="M900" s="27"/>
    </row>
    <row r="901" spans="8:13" x14ac:dyDescent="0.3">
      <c r="H901" s="50"/>
      <c r="I901" s="50"/>
      <c r="J901" s="26"/>
      <c r="K901" s="26"/>
      <c r="M901" s="27"/>
    </row>
    <row r="902" spans="8:13" x14ac:dyDescent="0.3">
      <c r="H902" s="50"/>
      <c r="I902" s="50"/>
      <c r="J902" s="26"/>
      <c r="K902" s="26"/>
      <c r="M902" s="27"/>
    </row>
    <row r="903" spans="8:13" x14ac:dyDescent="0.3">
      <c r="H903" s="50"/>
      <c r="I903" s="50"/>
      <c r="J903" s="26"/>
      <c r="K903" s="26"/>
      <c r="M903" s="27"/>
    </row>
    <row r="904" spans="8:13" x14ac:dyDescent="0.3">
      <c r="H904" s="50"/>
      <c r="I904" s="50"/>
      <c r="J904" s="26"/>
      <c r="K904" s="26"/>
      <c r="M904" s="27"/>
    </row>
    <row r="905" spans="8:13" x14ac:dyDescent="0.3">
      <c r="H905" s="50"/>
      <c r="I905" s="50"/>
      <c r="J905" s="26"/>
      <c r="K905" s="26"/>
      <c r="M905" s="27"/>
    </row>
    <row r="906" spans="8:13" x14ac:dyDescent="0.3">
      <c r="H906" s="50"/>
      <c r="I906" s="50"/>
      <c r="J906" s="26"/>
      <c r="K906" s="26"/>
      <c r="M906" s="27"/>
    </row>
    <row r="907" spans="8:13" x14ac:dyDescent="0.3">
      <c r="H907" s="50"/>
      <c r="I907" s="50"/>
      <c r="J907" s="26"/>
      <c r="K907" s="26"/>
      <c r="M907" s="27"/>
    </row>
    <row r="908" spans="8:13" x14ac:dyDescent="0.3">
      <c r="H908" s="50"/>
      <c r="I908" s="50"/>
      <c r="J908" s="26"/>
      <c r="K908" s="26"/>
      <c r="M908" s="27"/>
    </row>
    <row r="909" spans="8:13" x14ac:dyDescent="0.3">
      <c r="H909" s="50"/>
      <c r="I909" s="50"/>
      <c r="J909" s="26"/>
      <c r="K909" s="26"/>
      <c r="M909" s="27"/>
    </row>
    <row r="910" spans="8:13" x14ac:dyDescent="0.3">
      <c r="H910" s="50"/>
      <c r="I910" s="50"/>
      <c r="J910" s="26"/>
      <c r="K910" s="26"/>
      <c r="M910" s="27"/>
    </row>
    <row r="911" spans="8:13" x14ac:dyDescent="0.3">
      <c r="H911" s="50"/>
      <c r="I911" s="50"/>
      <c r="J911" s="26"/>
      <c r="K911" s="26"/>
      <c r="M911" s="27"/>
    </row>
    <row r="912" spans="8:13" x14ac:dyDescent="0.3">
      <c r="H912" s="50"/>
      <c r="I912" s="50"/>
      <c r="J912" s="26"/>
      <c r="K912" s="26"/>
      <c r="M912" s="27"/>
    </row>
    <row r="913" spans="8:13" x14ac:dyDescent="0.3">
      <c r="H913" s="50"/>
      <c r="I913" s="50"/>
      <c r="J913" s="26"/>
      <c r="K913" s="26"/>
      <c r="M913" s="27"/>
    </row>
    <row r="914" spans="8:13" x14ac:dyDescent="0.3">
      <c r="H914" s="50"/>
      <c r="I914" s="50"/>
      <c r="J914" s="26"/>
      <c r="K914" s="26"/>
      <c r="M914" s="27"/>
    </row>
    <row r="915" spans="8:13" x14ac:dyDescent="0.3">
      <c r="H915" s="50"/>
      <c r="I915" s="50"/>
      <c r="J915" s="26"/>
      <c r="K915" s="26"/>
      <c r="M915" s="27"/>
    </row>
    <row r="916" spans="8:13" x14ac:dyDescent="0.3">
      <c r="H916" s="50"/>
      <c r="I916" s="50"/>
      <c r="J916" s="26"/>
      <c r="K916" s="26"/>
      <c r="M916" s="27"/>
    </row>
    <row r="917" spans="8:13" x14ac:dyDescent="0.3">
      <c r="H917" s="50"/>
      <c r="I917" s="50"/>
      <c r="J917" s="26"/>
      <c r="K917" s="26"/>
      <c r="M917" s="27"/>
    </row>
    <row r="918" spans="8:13" x14ac:dyDescent="0.3">
      <c r="H918" s="50"/>
      <c r="I918" s="50"/>
      <c r="J918" s="26"/>
      <c r="K918" s="26"/>
      <c r="M918" s="27"/>
    </row>
    <row r="919" spans="8:13" x14ac:dyDescent="0.3">
      <c r="H919" s="50"/>
      <c r="I919" s="50"/>
      <c r="J919" s="26"/>
      <c r="K919" s="26"/>
      <c r="M919" s="27"/>
    </row>
    <row r="920" spans="8:13" x14ac:dyDescent="0.3">
      <c r="H920" s="50"/>
      <c r="I920" s="50"/>
      <c r="J920" s="26"/>
      <c r="K920" s="26"/>
      <c r="M920" s="27"/>
    </row>
    <row r="921" spans="8:13" x14ac:dyDescent="0.3">
      <c r="H921" s="50"/>
      <c r="I921" s="50"/>
      <c r="J921" s="26"/>
      <c r="K921" s="26"/>
      <c r="M921" s="27"/>
    </row>
    <row r="922" spans="8:13" x14ac:dyDescent="0.3">
      <c r="H922" s="50"/>
      <c r="I922" s="50"/>
      <c r="J922" s="26"/>
      <c r="K922" s="26"/>
      <c r="M922" s="27"/>
    </row>
    <row r="923" spans="8:13" x14ac:dyDescent="0.3">
      <c r="H923" s="50"/>
      <c r="I923" s="50"/>
      <c r="J923" s="26"/>
      <c r="K923" s="26"/>
      <c r="M923" s="27"/>
    </row>
    <row r="924" spans="8:13" x14ac:dyDescent="0.3">
      <c r="H924" s="50"/>
      <c r="I924" s="50"/>
      <c r="J924" s="26"/>
      <c r="K924" s="26"/>
      <c r="M924" s="27"/>
    </row>
    <row r="925" spans="8:13" x14ac:dyDescent="0.3">
      <c r="H925" s="50"/>
      <c r="I925" s="50"/>
      <c r="J925" s="26"/>
      <c r="K925" s="26"/>
      <c r="M925" s="27"/>
    </row>
    <row r="926" spans="8:13" x14ac:dyDescent="0.3">
      <c r="H926" s="50"/>
      <c r="I926" s="50"/>
      <c r="J926" s="26"/>
      <c r="K926" s="26"/>
      <c r="M926" s="27"/>
    </row>
    <row r="927" spans="8:13" x14ac:dyDescent="0.3">
      <c r="H927" s="50"/>
      <c r="I927" s="50"/>
      <c r="J927" s="26"/>
      <c r="K927" s="26"/>
      <c r="M927" s="27"/>
    </row>
    <row r="928" spans="8:13" x14ac:dyDescent="0.3">
      <c r="H928" s="50"/>
      <c r="I928" s="50"/>
      <c r="J928" s="26"/>
      <c r="K928" s="26"/>
      <c r="M928" s="27"/>
    </row>
    <row r="929" spans="8:13" x14ac:dyDescent="0.3">
      <c r="H929" s="50"/>
      <c r="I929" s="50"/>
      <c r="J929" s="26"/>
      <c r="K929" s="26"/>
      <c r="M929" s="27"/>
    </row>
    <row r="930" spans="8:13" x14ac:dyDescent="0.3">
      <c r="H930" s="50"/>
      <c r="I930" s="50"/>
      <c r="J930" s="26"/>
      <c r="K930" s="26"/>
      <c r="M930" s="27"/>
    </row>
    <row r="931" spans="8:13" x14ac:dyDescent="0.3">
      <c r="H931" s="50"/>
      <c r="I931" s="50"/>
      <c r="J931" s="26"/>
      <c r="K931" s="26"/>
      <c r="M931" s="27"/>
    </row>
    <row r="932" spans="8:13" x14ac:dyDescent="0.3">
      <c r="H932" s="50"/>
      <c r="I932" s="50"/>
      <c r="J932" s="26"/>
      <c r="K932" s="26"/>
      <c r="M932" s="27"/>
    </row>
    <row r="933" spans="8:13" x14ac:dyDescent="0.3">
      <c r="H933" s="50"/>
      <c r="I933" s="50"/>
      <c r="J933" s="26"/>
      <c r="K933" s="26"/>
      <c r="M933" s="27"/>
    </row>
    <row r="934" spans="8:13" x14ac:dyDescent="0.3">
      <c r="H934" s="50"/>
      <c r="I934" s="50"/>
      <c r="J934" s="26"/>
      <c r="K934" s="26"/>
      <c r="M934" s="27"/>
    </row>
    <row r="935" spans="8:13" x14ac:dyDescent="0.3">
      <c r="H935" s="50"/>
      <c r="I935" s="50"/>
      <c r="J935" s="26"/>
      <c r="K935" s="26"/>
      <c r="M935" s="27"/>
    </row>
    <row r="936" spans="8:13" x14ac:dyDescent="0.3">
      <c r="H936" s="50"/>
      <c r="I936" s="50"/>
      <c r="J936" s="26"/>
      <c r="K936" s="26"/>
      <c r="M936" s="27"/>
    </row>
    <row r="937" spans="8:13" x14ac:dyDescent="0.3">
      <c r="H937" s="50"/>
      <c r="I937" s="50"/>
      <c r="J937" s="26"/>
      <c r="K937" s="26"/>
      <c r="M937" s="27"/>
    </row>
    <row r="938" spans="8:13" x14ac:dyDescent="0.3">
      <c r="H938" s="50"/>
      <c r="I938" s="50"/>
      <c r="J938" s="26"/>
      <c r="K938" s="26"/>
      <c r="M938" s="27"/>
    </row>
    <row r="939" spans="8:13" x14ac:dyDescent="0.3">
      <c r="H939" s="50"/>
      <c r="I939" s="50"/>
      <c r="J939" s="26"/>
      <c r="K939" s="26"/>
      <c r="M939" s="27"/>
    </row>
    <row r="940" spans="8:13" x14ac:dyDescent="0.3">
      <c r="H940" s="50"/>
      <c r="I940" s="50"/>
      <c r="J940" s="26"/>
      <c r="K940" s="26"/>
      <c r="M940" s="27"/>
    </row>
    <row r="941" spans="8:13" x14ac:dyDescent="0.3">
      <c r="H941" s="50"/>
      <c r="I941" s="50"/>
      <c r="J941" s="26"/>
      <c r="K941" s="26"/>
      <c r="M941" s="27"/>
    </row>
    <row r="942" spans="8:13" x14ac:dyDescent="0.3">
      <c r="H942" s="50"/>
      <c r="I942" s="50"/>
      <c r="J942" s="26"/>
      <c r="K942" s="26"/>
      <c r="M942" s="27"/>
    </row>
    <row r="943" spans="8:13" x14ac:dyDescent="0.3">
      <c r="H943" s="50"/>
      <c r="I943" s="50"/>
      <c r="J943" s="26"/>
      <c r="K943" s="26"/>
      <c r="M943" s="27"/>
    </row>
    <row r="944" spans="8:13" x14ac:dyDescent="0.3">
      <c r="H944" s="50"/>
      <c r="I944" s="50"/>
      <c r="J944" s="26"/>
      <c r="K944" s="26"/>
      <c r="M944" s="27"/>
    </row>
    <row r="945" spans="8:13" x14ac:dyDescent="0.3">
      <c r="H945" s="50"/>
      <c r="I945" s="50"/>
      <c r="J945" s="26"/>
      <c r="K945" s="26"/>
      <c r="M945" s="27"/>
    </row>
    <row r="946" spans="8:13" x14ac:dyDescent="0.3">
      <c r="H946" s="50"/>
      <c r="I946" s="50"/>
      <c r="J946" s="26"/>
      <c r="K946" s="26"/>
      <c r="M946" s="27"/>
    </row>
    <row r="947" spans="8:13" x14ac:dyDescent="0.3">
      <c r="H947" s="50"/>
      <c r="I947" s="50"/>
      <c r="J947" s="26"/>
      <c r="K947" s="26"/>
      <c r="M947" s="27"/>
    </row>
    <row r="948" spans="8:13" x14ac:dyDescent="0.3">
      <c r="H948" s="50"/>
      <c r="I948" s="50"/>
      <c r="J948" s="26"/>
      <c r="K948" s="26"/>
      <c r="M948" s="27"/>
    </row>
    <row r="949" spans="8:13" x14ac:dyDescent="0.3">
      <c r="H949" s="50"/>
      <c r="I949" s="50"/>
      <c r="J949" s="26"/>
      <c r="K949" s="26"/>
      <c r="M949" s="27"/>
    </row>
    <row r="950" spans="8:13" x14ac:dyDescent="0.3">
      <c r="H950" s="50"/>
      <c r="I950" s="50"/>
      <c r="J950" s="26"/>
      <c r="K950" s="26"/>
      <c r="M950" s="27"/>
    </row>
    <row r="951" spans="8:13" x14ac:dyDescent="0.3">
      <c r="H951" s="50"/>
      <c r="I951" s="50"/>
      <c r="J951" s="26"/>
      <c r="K951" s="26"/>
      <c r="M951" s="27"/>
    </row>
    <row r="952" spans="8:13" x14ac:dyDescent="0.3">
      <c r="H952" s="50"/>
      <c r="I952" s="50"/>
      <c r="J952" s="26"/>
      <c r="K952" s="26"/>
      <c r="M952" s="27"/>
    </row>
    <row r="953" spans="8:13" x14ac:dyDescent="0.3">
      <c r="H953" s="50"/>
      <c r="I953" s="50"/>
      <c r="J953" s="26"/>
      <c r="K953" s="26"/>
      <c r="M953" s="27"/>
    </row>
    <row r="954" spans="8:13" x14ac:dyDescent="0.3">
      <c r="H954" s="50"/>
      <c r="I954" s="50"/>
      <c r="J954" s="26"/>
      <c r="K954" s="26"/>
      <c r="M954" s="27"/>
    </row>
    <row r="955" spans="8:13" x14ac:dyDescent="0.3">
      <c r="H955" s="50"/>
      <c r="I955" s="50"/>
      <c r="J955" s="26"/>
      <c r="K955" s="26"/>
      <c r="M955" s="27"/>
    </row>
    <row r="956" spans="8:13" x14ac:dyDescent="0.3">
      <c r="H956" s="50"/>
      <c r="I956" s="50"/>
      <c r="J956" s="26"/>
      <c r="K956" s="26"/>
      <c r="M956" s="27"/>
    </row>
    <row r="957" spans="8:13" x14ac:dyDescent="0.3">
      <c r="H957" s="50"/>
      <c r="I957" s="50"/>
      <c r="J957" s="26"/>
      <c r="K957" s="26"/>
      <c r="M957" s="27"/>
    </row>
    <row r="958" spans="8:13" x14ac:dyDescent="0.3">
      <c r="H958" s="50"/>
      <c r="I958" s="50"/>
      <c r="J958" s="26"/>
      <c r="K958" s="26"/>
      <c r="M958" s="27"/>
    </row>
    <row r="959" spans="8:13" x14ac:dyDescent="0.3">
      <c r="H959" s="50"/>
      <c r="I959" s="50"/>
      <c r="J959" s="26"/>
      <c r="K959" s="26"/>
      <c r="M959" s="27"/>
    </row>
    <row r="960" spans="8:13" x14ac:dyDescent="0.3">
      <c r="H960" s="50"/>
      <c r="I960" s="50"/>
      <c r="J960" s="26"/>
      <c r="K960" s="26"/>
      <c r="M960" s="27"/>
    </row>
    <row r="961" spans="8:13" x14ac:dyDescent="0.3">
      <c r="H961" s="50"/>
      <c r="I961" s="50"/>
      <c r="J961" s="26"/>
      <c r="K961" s="26"/>
      <c r="M961" s="27"/>
    </row>
    <row r="962" spans="8:13" x14ac:dyDescent="0.3">
      <c r="H962" s="50"/>
      <c r="I962" s="50"/>
      <c r="J962" s="26"/>
      <c r="K962" s="26"/>
      <c r="M962" s="27"/>
    </row>
    <row r="963" spans="8:13" x14ac:dyDescent="0.3">
      <c r="H963" s="50"/>
      <c r="I963" s="50"/>
      <c r="J963" s="26"/>
      <c r="K963" s="26"/>
      <c r="M963" s="27"/>
    </row>
    <row r="964" spans="8:13" x14ac:dyDescent="0.3">
      <c r="H964" s="50"/>
      <c r="I964" s="50"/>
      <c r="J964" s="26"/>
      <c r="K964" s="26"/>
      <c r="M964" s="27"/>
    </row>
    <row r="965" spans="8:13" x14ac:dyDescent="0.3">
      <c r="H965" s="50"/>
      <c r="I965" s="50"/>
      <c r="J965" s="26"/>
      <c r="K965" s="26"/>
      <c r="M965" s="27"/>
    </row>
    <row r="966" spans="8:13" x14ac:dyDescent="0.3">
      <c r="H966" s="50"/>
      <c r="I966" s="50"/>
      <c r="J966" s="26"/>
      <c r="K966" s="26"/>
      <c r="M966" s="27"/>
    </row>
    <row r="967" spans="8:13" x14ac:dyDescent="0.3">
      <c r="H967" s="50"/>
      <c r="I967" s="50"/>
      <c r="J967" s="26"/>
      <c r="K967" s="26"/>
      <c r="M967" s="27"/>
    </row>
    <row r="968" spans="8:13" x14ac:dyDescent="0.3">
      <c r="H968" s="50"/>
      <c r="I968" s="50"/>
      <c r="J968" s="26"/>
      <c r="K968" s="26"/>
      <c r="M968" s="27"/>
    </row>
    <row r="969" spans="8:13" x14ac:dyDescent="0.3">
      <c r="H969" s="50"/>
      <c r="I969" s="50"/>
      <c r="J969" s="26"/>
      <c r="K969" s="26"/>
      <c r="M969" s="27"/>
    </row>
    <row r="970" spans="8:13" x14ac:dyDescent="0.3">
      <c r="H970" s="50"/>
      <c r="I970" s="50"/>
      <c r="J970" s="26"/>
      <c r="K970" s="26"/>
      <c r="M970" s="27"/>
    </row>
    <row r="971" spans="8:13" x14ac:dyDescent="0.3">
      <c r="H971" s="50"/>
      <c r="I971" s="50"/>
      <c r="J971" s="26"/>
      <c r="K971" s="26"/>
      <c r="M971" s="27"/>
    </row>
    <row r="972" spans="8:13" x14ac:dyDescent="0.3">
      <c r="H972" s="50"/>
      <c r="I972" s="50"/>
      <c r="J972" s="26"/>
      <c r="K972" s="26"/>
      <c r="M972" s="27"/>
    </row>
    <row r="973" spans="8:13" x14ac:dyDescent="0.3">
      <c r="H973" s="50"/>
      <c r="I973" s="50"/>
      <c r="J973" s="26"/>
      <c r="K973" s="26"/>
      <c r="M973" s="27"/>
    </row>
    <row r="974" spans="8:13" x14ac:dyDescent="0.3">
      <c r="H974" s="50"/>
      <c r="I974" s="50"/>
      <c r="J974" s="26"/>
      <c r="K974" s="26"/>
      <c r="M974" s="27"/>
    </row>
    <row r="975" spans="8:13" x14ac:dyDescent="0.3">
      <c r="H975" s="50"/>
      <c r="I975" s="50"/>
      <c r="J975" s="26"/>
      <c r="K975" s="26"/>
      <c r="M975" s="27"/>
    </row>
    <row r="976" spans="8:13" x14ac:dyDescent="0.3">
      <c r="H976" s="50"/>
      <c r="I976" s="50"/>
      <c r="J976" s="26"/>
      <c r="K976" s="26"/>
      <c r="M976" s="27"/>
    </row>
    <row r="977" spans="8:13" x14ac:dyDescent="0.3">
      <c r="H977" s="50"/>
      <c r="I977" s="50"/>
      <c r="J977" s="26"/>
      <c r="K977" s="26"/>
      <c r="M977" s="27"/>
    </row>
    <row r="978" spans="8:13" x14ac:dyDescent="0.3">
      <c r="H978" s="50"/>
      <c r="I978" s="50"/>
      <c r="J978" s="26"/>
      <c r="K978" s="26"/>
      <c r="M978" s="27"/>
    </row>
    <row r="979" spans="8:13" x14ac:dyDescent="0.3">
      <c r="H979" s="50"/>
      <c r="I979" s="50"/>
      <c r="J979" s="26"/>
      <c r="K979" s="26"/>
      <c r="M979" s="27"/>
    </row>
    <row r="980" spans="8:13" x14ac:dyDescent="0.3">
      <c r="H980" s="50"/>
      <c r="I980" s="50"/>
      <c r="J980" s="26"/>
      <c r="K980" s="26"/>
      <c r="M980" s="27"/>
    </row>
    <row r="981" spans="8:13" x14ac:dyDescent="0.3">
      <c r="H981" s="50"/>
      <c r="I981" s="50"/>
      <c r="J981" s="26"/>
      <c r="K981" s="26"/>
      <c r="M981" s="27"/>
    </row>
    <row r="982" spans="8:13" x14ac:dyDescent="0.3">
      <c r="H982" s="50"/>
      <c r="I982" s="50"/>
      <c r="J982" s="26"/>
      <c r="K982" s="26"/>
      <c r="M982" s="27"/>
    </row>
    <row r="983" spans="8:13" x14ac:dyDescent="0.3">
      <c r="H983" s="50"/>
      <c r="I983" s="50"/>
      <c r="J983" s="26"/>
      <c r="K983" s="26"/>
      <c r="M983" s="27"/>
    </row>
    <row r="984" spans="8:13" x14ac:dyDescent="0.3">
      <c r="H984" s="50"/>
      <c r="I984" s="50"/>
      <c r="J984" s="26"/>
      <c r="K984" s="26"/>
      <c r="M984" s="27"/>
    </row>
    <row r="985" spans="8:13" x14ac:dyDescent="0.3">
      <c r="H985" s="50"/>
      <c r="I985" s="50"/>
      <c r="J985" s="26"/>
      <c r="K985" s="26"/>
      <c r="M985" s="27"/>
    </row>
    <row r="986" spans="8:13" x14ac:dyDescent="0.3">
      <c r="H986" s="50"/>
      <c r="I986" s="50"/>
      <c r="J986" s="26"/>
      <c r="K986" s="26"/>
      <c r="M986" s="27"/>
    </row>
    <row r="987" spans="8:13" x14ac:dyDescent="0.3">
      <c r="H987" s="50"/>
      <c r="I987" s="50"/>
      <c r="J987" s="26"/>
      <c r="K987" s="26"/>
      <c r="M987" s="27"/>
    </row>
    <row r="988" spans="8:13" x14ac:dyDescent="0.3">
      <c r="H988" s="50"/>
      <c r="I988" s="50"/>
      <c r="J988" s="26"/>
      <c r="K988" s="26"/>
      <c r="M988" s="27"/>
    </row>
    <row r="989" spans="8:13" x14ac:dyDescent="0.3">
      <c r="H989" s="50"/>
      <c r="I989" s="50"/>
      <c r="J989" s="26"/>
      <c r="K989" s="26"/>
      <c r="M989" s="27"/>
    </row>
    <row r="990" spans="8:13" x14ac:dyDescent="0.3">
      <c r="H990" s="50"/>
      <c r="I990" s="50"/>
      <c r="J990" s="26"/>
      <c r="K990" s="26"/>
      <c r="M990" s="27"/>
    </row>
    <row r="991" spans="8:13" x14ac:dyDescent="0.3">
      <c r="H991" s="50"/>
      <c r="I991" s="50"/>
      <c r="J991" s="26"/>
      <c r="K991" s="26"/>
      <c r="M991" s="27"/>
    </row>
    <row r="992" spans="8:13" x14ac:dyDescent="0.3">
      <c r="H992" s="50"/>
      <c r="I992" s="50"/>
      <c r="J992" s="26"/>
      <c r="K992" s="26"/>
      <c r="M992" s="27"/>
    </row>
    <row r="993" spans="8:13" x14ac:dyDescent="0.3">
      <c r="H993" s="50"/>
      <c r="I993" s="50"/>
      <c r="J993" s="26"/>
      <c r="K993" s="26"/>
      <c r="M993" s="27"/>
    </row>
    <row r="994" spans="8:13" x14ac:dyDescent="0.3">
      <c r="H994" s="50"/>
      <c r="I994" s="50"/>
      <c r="J994" s="26"/>
      <c r="K994" s="26"/>
      <c r="M994" s="27"/>
    </row>
    <row r="995" spans="8:13" x14ac:dyDescent="0.3">
      <c r="H995" s="50"/>
      <c r="I995" s="50"/>
      <c r="J995" s="26"/>
      <c r="K995" s="26"/>
      <c r="M995" s="27"/>
    </row>
    <row r="996" spans="8:13" x14ac:dyDescent="0.3">
      <c r="H996" s="50"/>
      <c r="I996" s="50"/>
      <c r="J996" s="26"/>
      <c r="K996" s="26"/>
      <c r="M996" s="27"/>
    </row>
    <row r="997" spans="8:13" x14ac:dyDescent="0.3">
      <c r="H997" s="50"/>
      <c r="I997" s="50"/>
      <c r="J997" s="26"/>
      <c r="K997" s="26"/>
      <c r="M997" s="27"/>
    </row>
    <row r="998" spans="8:13" x14ac:dyDescent="0.3">
      <c r="H998" s="50"/>
      <c r="I998" s="50"/>
      <c r="J998" s="26"/>
      <c r="K998" s="26"/>
      <c r="M998" s="27"/>
    </row>
    <row r="999" spans="8:13" x14ac:dyDescent="0.3">
      <c r="H999" s="50"/>
      <c r="I999" s="50"/>
      <c r="J999" s="26"/>
      <c r="K999" s="26"/>
      <c r="M999" s="27"/>
    </row>
    <row r="1000" spans="8:13" x14ac:dyDescent="0.3">
      <c r="H1000" s="50"/>
      <c r="I1000" s="50"/>
    </row>
  </sheetData>
  <dataValidations count="1">
    <dataValidation type="list" allowBlank="1" showInputMessage="1" showErrorMessage="1" errorTitle="Invalid status" error="Use one of: Booked, Cutting, Stitching, Trial Pending, Alteration, Ready, Delivered, Cancelled." promptTitle="Status" prompt="Choose the current status. Delivered and Cancelled are treated as closed." sqref="G2:G5000" xr:uid="{939F5787-3DE3-4198-8D33-06E74B139632}">
      <formula1>HameesStatusList</formula1>
    </dataValidation>
  </dataValidations>
  <pageMargins left="0.7" right="0.7" top="0.75" bottom="0.75" header="0.511811023622047" footer="0.511811023622047"/>
  <pageSetup paperSize="9" orientation="portrait" horizontalDpi="300" verticalDpi="300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X999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8.6640625" defaultRowHeight="14.4" x14ac:dyDescent="0.3"/>
  <cols>
    <col min="1" max="1" width="18.88671875" customWidth="1"/>
    <col min="2" max="2" width="19.77734375" customWidth="1"/>
    <col min="3" max="3" width="17.5546875" customWidth="1"/>
    <col min="4" max="4" width="7" customWidth="1"/>
    <col min="5" max="5" width="6" customWidth="1"/>
    <col min="6" max="6" width="8.77734375" customWidth="1"/>
    <col min="7" max="7" width="7" customWidth="1"/>
    <col min="8" max="8" width="5.88671875" customWidth="1"/>
    <col min="9" max="9" width="6.33203125" customWidth="1"/>
    <col min="10" max="10" width="6" customWidth="1"/>
    <col min="11" max="11" width="5.6640625" customWidth="1"/>
    <col min="12" max="12" width="4.77734375" customWidth="1"/>
    <col min="13" max="13" width="7.33203125" customWidth="1"/>
    <col min="14" max="14" width="8.77734375" customWidth="1"/>
    <col min="15" max="15" width="5.77734375" customWidth="1"/>
    <col min="16" max="16" width="5.21875" bestFit="1" customWidth="1"/>
    <col min="17" max="17" width="7.33203125" customWidth="1"/>
    <col min="18" max="18" width="5" bestFit="1" customWidth="1"/>
    <col min="19" max="19" width="11" bestFit="1" customWidth="1"/>
    <col min="20" max="20" width="10.33203125" bestFit="1" customWidth="1"/>
    <col min="21" max="21" width="4.33203125" bestFit="1" customWidth="1"/>
    <col min="22" max="22" width="4.109375" bestFit="1" customWidth="1"/>
    <col min="23" max="23" width="3.21875" bestFit="1" customWidth="1"/>
    <col min="24" max="24" width="53.88671875" bestFit="1" customWidth="1"/>
  </cols>
  <sheetData>
    <row r="1" spans="1:24" x14ac:dyDescent="0.3">
      <c r="A1" s="22" t="s">
        <v>9</v>
      </c>
      <c r="B1" s="22" t="s">
        <v>12</v>
      </c>
      <c r="C1" s="24" t="s">
        <v>77</v>
      </c>
      <c r="D1" s="22" t="s">
        <v>78</v>
      </c>
      <c r="E1" s="22" t="s">
        <v>79</v>
      </c>
      <c r="F1" s="22" t="s">
        <v>80</v>
      </c>
      <c r="G1" s="22" t="s">
        <v>81</v>
      </c>
      <c r="H1" s="22" t="s">
        <v>82</v>
      </c>
      <c r="I1" s="22" t="s">
        <v>83</v>
      </c>
      <c r="J1" s="22" t="s">
        <v>84</v>
      </c>
      <c r="K1" s="22" t="s">
        <v>85</v>
      </c>
      <c r="L1" s="22" t="s">
        <v>86</v>
      </c>
      <c r="M1" s="22" t="s">
        <v>87</v>
      </c>
      <c r="N1" s="22" t="s">
        <v>88</v>
      </c>
      <c r="O1" s="22" t="s">
        <v>89</v>
      </c>
      <c r="P1" s="22" t="s">
        <v>90</v>
      </c>
      <c r="Q1" s="24" t="s">
        <v>91</v>
      </c>
      <c r="R1" s="24" t="s">
        <v>92</v>
      </c>
      <c r="S1" s="24" t="s">
        <v>93</v>
      </c>
      <c r="T1" s="24" t="s">
        <v>94</v>
      </c>
      <c r="U1" s="24" t="s">
        <v>95</v>
      </c>
      <c r="V1" s="24" t="s">
        <v>96</v>
      </c>
      <c r="W1" s="24" t="s">
        <v>97</v>
      </c>
      <c r="X1" s="24" t="s">
        <v>98</v>
      </c>
    </row>
    <row r="2" spans="1:24" x14ac:dyDescent="0.3">
      <c r="A2" t="s">
        <v>117</v>
      </c>
      <c r="B2" t="s">
        <v>123</v>
      </c>
      <c r="C2" s="13">
        <v>46171</v>
      </c>
      <c r="D2">
        <v>30</v>
      </c>
      <c r="E2">
        <v>36</v>
      </c>
      <c r="F2">
        <v>19</v>
      </c>
      <c r="G2">
        <v>22</v>
      </c>
      <c r="H2">
        <v>20</v>
      </c>
      <c r="I2">
        <v>14</v>
      </c>
      <c r="J2">
        <v>17</v>
      </c>
      <c r="K2">
        <v>38</v>
      </c>
      <c r="L2">
        <v>39</v>
      </c>
      <c r="X2" s="23" t="s">
        <v>128</v>
      </c>
    </row>
    <row r="3" spans="1:24" x14ac:dyDescent="0.3">
      <c r="A3" t="s">
        <v>117</v>
      </c>
      <c r="B3" t="s">
        <v>127</v>
      </c>
      <c r="C3" s="13">
        <v>46171</v>
      </c>
      <c r="D3">
        <v>40</v>
      </c>
      <c r="K3">
        <v>38</v>
      </c>
      <c r="L3">
        <v>40</v>
      </c>
      <c r="M3">
        <v>12</v>
      </c>
      <c r="N3">
        <v>14</v>
      </c>
      <c r="O3">
        <v>25</v>
      </c>
      <c r="P3">
        <v>18</v>
      </c>
      <c r="Q3">
        <v>40</v>
      </c>
      <c r="X3" s="23" t="s">
        <v>129</v>
      </c>
    </row>
    <row r="4" spans="1:24" x14ac:dyDescent="0.3">
      <c r="A4" t="s">
        <v>22</v>
      </c>
      <c r="B4" t="s">
        <v>24</v>
      </c>
      <c r="C4" s="13">
        <v>46171</v>
      </c>
      <c r="D4">
        <v>30</v>
      </c>
      <c r="K4">
        <v>34</v>
      </c>
      <c r="L4">
        <v>36</v>
      </c>
      <c r="M4">
        <v>10</v>
      </c>
      <c r="N4">
        <v>10</v>
      </c>
      <c r="O4">
        <v>10</v>
      </c>
      <c r="P4">
        <v>20</v>
      </c>
      <c r="Q4">
        <v>10</v>
      </c>
      <c r="X4" s="23" t="s">
        <v>129</v>
      </c>
    </row>
    <row r="5" spans="1:24" x14ac:dyDescent="0.3">
      <c r="A5" t="s">
        <v>30</v>
      </c>
      <c r="B5" t="s">
        <v>31</v>
      </c>
      <c r="C5" s="13">
        <v>46171</v>
      </c>
      <c r="D5">
        <v>34</v>
      </c>
      <c r="K5">
        <v>32</v>
      </c>
      <c r="L5">
        <v>34</v>
      </c>
      <c r="M5">
        <v>10</v>
      </c>
      <c r="N5">
        <v>10</v>
      </c>
      <c r="O5">
        <v>20</v>
      </c>
      <c r="P5">
        <v>15</v>
      </c>
      <c r="Q5">
        <v>9</v>
      </c>
      <c r="X5" s="23" t="s">
        <v>129</v>
      </c>
    </row>
    <row r="6" spans="1:24" x14ac:dyDescent="0.3">
      <c r="A6" t="s">
        <v>36</v>
      </c>
      <c r="B6" t="s">
        <v>38</v>
      </c>
      <c r="C6" s="13">
        <v>46171</v>
      </c>
      <c r="D6">
        <v>32</v>
      </c>
      <c r="L6">
        <v>34</v>
      </c>
      <c r="M6">
        <v>12</v>
      </c>
      <c r="N6">
        <v>18</v>
      </c>
      <c r="O6">
        <v>20</v>
      </c>
      <c r="P6">
        <v>10</v>
      </c>
      <c r="Q6">
        <v>20</v>
      </c>
      <c r="X6" s="23" t="s">
        <v>129</v>
      </c>
    </row>
    <row r="7" spans="1:24" x14ac:dyDescent="0.3">
      <c r="A7" t="s">
        <v>187</v>
      </c>
      <c r="B7" t="s">
        <v>188</v>
      </c>
      <c r="C7" s="50">
        <v>46173</v>
      </c>
      <c r="D7">
        <v>34</v>
      </c>
      <c r="E7">
        <v>12</v>
      </c>
      <c r="F7">
        <v>18</v>
      </c>
      <c r="G7">
        <v>14</v>
      </c>
      <c r="H7">
        <v>19</v>
      </c>
      <c r="I7">
        <v>10</v>
      </c>
      <c r="J7">
        <v>22</v>
      </c>
      <c r="K7">
        <v>16</v>
      </c>
      <c r="L7">
        <v>36</v>
      </c>
      <c r="R7">
        <v>8</v>
      </c>
      <c r="S7">
        <v>20</v>
      </c>
      <c r="T7">
        <v>10</v>
      </c>
      <c r="U7">
        <v>10</v>
      </c>
      <c r="V7">
        <v>10</v>
      </c>
      <c r="W7">
        <v>10</v>
      </c>
      <c r="X7" s="23"/>
    </row>
    <row r="8" spans="1:24" x14ac:dyDescent="0.3">
      <c r="X8" s="23"/>
    </row>
    <row r="9" spans="1:24" x14ac:dyDescent="0.3">
      <c r="X9" s="23"/>
    </row>
    <row r="10" spans="1:24" x14ac:dyDescent="0.3">
      <c r="X10" s="23"/>
    </row>
    <row r="11" spans="1:24" x14ac:dyDescent="0.3">
      <c r="X11" s="23"/>
    </row>
    <row r="12" spans="1:24" x14ac:dyDescent="0.3">
      <c r="X12" s="23"/>
    </row>
    <row r="13" spans="1:24" x14ac:dyDescent="0.3">
      <c r="X13" s="23"/>
    </row>
    <row r="14" spans="1:24" x14ac:dyDescent="0.3">
      <c r="X14" s="23"/>
    </row>
    <row r="15" spans="1:24" x14ac:dyDescent="0.3">
      <c r="X15" s="23"/>
    </row>
    <row r="16" spans="1:24" x14ac:dyDescent="0.3">
      <c r="X16" s="23"/>
    </row>
    <row r="17" spans="24:24" x14ac:dyDescent="0.3">
      <c r="X17" s="23"/>
    </row>
    <row r="18" spans="24:24" x14ac:dyDescent="0.3">
      <c r="X18" s="23"/>
    </row>
    <row r="19" spans="24:24" x14ac:dyDescent="0.3">
      <c r="X19" s="23"/>
    </row>
    <row r="20" spans="24:24" x14ac:dyDescent="0.3">
      <c r="X20" s="23"/>
    </row>
    <row r="21" spans="24:24" x14ac:dyDescent="0.3">
      <c r="X21" s="23"/>
    </row>
    <row r="22" spans="24:24" x14ac:dyDescent="0.3">
      <c r="X22" s="23"/>
    </row>
    <row r="23" spans="24:24" x14ac:dyDescent="0.3">
      <c r="X23" s="23"/>
    </row>
    <row r="24" spans="24:24" x14ac:dyDescent="0.3">
      <c r="X24" s="23"/>
    </row>
    <row r="25" spans="24:24" x14ac:dyDescent="0.3">
      <c r="X25" s="23"/>
    </row>
    <row r="26" spans="24:24" x14ac:dyDescent="0.3">
      <c r="X26" s="23"/>
    </row>
    <row r="27" spans="24:24" x14ac:dyDescent="0.3">
      <c r="X27" s="23"/>
    </row>
    <row r="28" spans="24:24" x14ac:dyDescent="0.3">
      <c r="X28" s="23"/>
    </row>
    <row r="29" spans="24:24" x14ac:dyDescent="0.3">
      <c r="X29" s="23"/>
    </row>
    <row r="30" spans="24:24" x14ac:dyDescent="0.3">
      <c r="X30" s="23"/>
    </row>
    <row r="31" spans="24:24" x14ac:dyDescent="0.3">
      <c r="X31" s="23"/>
    </row>
    <row r="32" spans="24:24" x14ac:dyDescent="0.3">
      <c r="X32" s="23"/>
    </row>
    <row r="33" spans="24:24" x14ac:dyDescent="0.3">
      <c r="X33" s="23"/>
    </row>
    <row r="34" spans="24:24" x14ac:dyDescent="0.3">
      <c r="X34" s="23"/>
    </row>
    <row r="35" spans="24:24" x14ac:dyDescent="0.3">
      <c r="X35" s="23"/>
    </row>
    <row r="36" spans="24:24" x14ac:dyDescent="0.3">
      <c r="X36" s="23"/>
    </row>
    <row r="37" spans="24:24" x14ac:dyDescent="0.3">
      <c r="X37" s="23"/>
    </row>
    <row r="38" spans="24:24" x14ac:dyDescent="0.3">
      <c r="X38" s="23"/>
    </row>
    <row r="39" spans="24:24" x14ac:dyDescent="0.3">
      <c r="X39" s="23"/>
    </row>
    <row r="40" spans="24:24" x14ac:dyDescent="0.3">
      <c r="X40" s="23"/>
    </row>
    <row r="41" spans="24:24" x14ac:dyDescent="0.3">
      <c r="X41" s="23"/>
    </row>
    <row r="42" spans="24:24" x14ac:dyDescent="0.3">
      <c r="X42" s="23"/>
    </row>
    <row r="43" spans="24:24" x14ac:dyDescent="0.3">
      <c r="X43" s="23"/>
    </row>
    <row r="44" spans="24:24" x14ac:dyDescent="0.3">
      <c r="X44" s="23"/>
    </row>
    <row r="45" spans="24:24" x14ac:dyDescent="0.3">
      <c r="X45" s="23"/>
    </row>
    <row r="46" spans="24:24" x14ac:dyDescent="0.3">
      <c r="X46" s="23"/>
    </row>
    <row r="47" spans="24:24" x14ac:dyDescent="0.3">
      <c r="X47" s="23"/>
    </row>
    <row r="48" spans="24:24" x14ac:dyDescent="0.3">
      <c r="X48" s="23"/>
    </row>
    <row r="49" spans="24:24" x14ac:dyDescent="0.3">
      <c r="X49" s="23"/>
    </row>
    <row r="50" spans="24:24" x14ac:dyDescent="0.3">
      <c r="X50" s="23"/>
    </row>
    <row r="51" spans="24:24" x14ac:dyDescent="0.3">
      <c r="X51" s="23"/>
    </row>
    <row r="52" spans="24:24" x14ac:dyDescent="0.3">
      <c r="X52" s="23"/>
    </row>
    <row r="53" spans="24:24" x14ac:dyDescent="0.3">
      <c r="X53" s="23"/>
    </row>
    <row r="54" spans="24:24" x14ac:dyDescent="0.3">
      <c r="X54" s="23"/>
    </row>
    <row r="55" spans="24:24" x14ac:dyDescent="0.3">
      <c r="X55" s="23"/>
    </row>
    <row r="56" spans="24:24" x14ac:dyDescent="0.3">
      <c r="X56" s="23"/>
    </row>
    <row r="57" spans="24:24" x14ac:dyDescent="0.3">
      <c r="X57" s="23"/>
    </row>
    <row r="58" spans="24:24" x14ac:dyDescent="0.3">
      <c r="X58" s="23"/>
    </row>
    <row r="59" spans="24:24" x14ac:dyDescent="0.3">
      <c r="X59" s="23"/>
    </row>
    <row r="60" spans="24:24" x14ac:dyDescent="0.3">
      <c r="X60" s="23"/>
    </row>
    <row r="61" spans="24:24" x14ac:dyDescent="0.3">
      <c r="X61" s="23"/>
    </row>
    <row r="62" spans="24:24" x14ac:dyDescent="0.3">
      <c r="X62" s="23"/>
    </row>
    <row r="63" spans="24:24" x14ac:dyDescent="0.3">
      <c r="X63" s="23"/>
    </row>
    <row r="64" spans="24:24" x14ac:dyDescent="0.3">
      <c r="X64" s="23"/>
    </row>
    <row r="65" spans="24:24" x14ac:dyDescent="0.3">
      <c r="X65" s="23"/>
    </row>
    <row r="66" spans="24:24" x14ac:dyDescent="0.3">
      <c r="X66" s="23"/>
    </row>
    <row r="67" spans="24:24" x14ac:dyDescent="0.3">
      <c r="X67" s="23"/>
    </row>
    <row r="68" spans="24:24" x14ac:dyDescent="0.3">
      <c r="X68" s="23"/>
    </row>
    <row r="69" spans="24:24" x14ac:dyDescent="0.3">
      <c r="X69" s="23"/>
    </row>
    <row r="70" spans="24:24" x14ac:dyDescent="0.3">
      <c r="X70" s="23"/>
    </row>
    <row r="71" spans="24:24" x14ac:dyDescent="0.3">
      <c r="X71" s="23"/>
    </row>
    <row r="72" spans="24:24" x14ac:dyDescent="0.3">
      <c r="X72" s="23"/>
    </row>
    <row r="73" spans="24:24" x14ac:dyDescent="0.3">
      <c r="X73" s="23"/>
    </row>
    <row r="74" spans="24:24" x14ac:dyDescent="0.3">
      <c r="X74" s="23"/>
    </row>
    <row r="75" spans="24:24" x14ac:dyDescent="0.3">
      <c r="X75" s="23"/>
    </row>
    <row r="76" spans="24:24" x14ac:dyDescent="0.3">
      <c r="X76" s="23"/>
    </row>
    <row r="77" spans="24:24" x14ac:dyDescent="0.3">
      <c r="X77" s="23"/>
    </row>
    <row r="78" spans="24:24" x14ac:dyDescent="0.3">
      <c r="X78" s="23"/>
    </row>
    <row r="79" spans="24:24" x14ac:dyDescent="0.3">
      <c r="X79" s="23"/>
    </row>
    <row r="80" spans="24:24" x14ac:dyDescent="0.3">
      <c r="X80" s="23"/>
    </row>
    <row r="81" spans="24:24" x14ac:dyDescent="0.3">
      <c r="X81" s="23"/>
    </row>
    <row r="82" spans="24:24" x14ac:dyDescent="0.3">
      <c r="X82" s="23"/>
    </row>
    <row r="83" spans="24:24" x14ac:dyDescent="0.3">
      <c r="X83" s="23"/>
    </row>
    <row r="84" spans="24:24" x14ac:dyDescent="0.3">
      <c r="X84" s="23"/>
    </row>
    <row r="85" spans="24:24" x14ac:dyDescent="0.3">
      <c r="X85" s="23"/>
    </row>
    <row r="86" spans="24:24" x14ac:dyDescent="0.3">
      <c r="X86" s="23"/>
    </row>
    <row r="87" spans="24:24" x14ac:dyDescent="0.3">
      <c r="X87" s="23"/>
    </row>
    <row r="88" spans="24:24" x14ac:dyDescent="0.3">
      <c r="X88" s="23"/>
    </row>
    <row r="89" spans="24:24" x14ac:dyDescent="0.3">
      <c r="X89" s="23"/>
    </row>
    <row r="90" spans="24:24" x14ac:dyDescent="0.3">
      <c r="X90" s="23"/>
    </row>
    <row r="91" spans="24:24" x14ac:dyDescent="0.3">
      <c r="X91" s="23"/>
    </row>
    <row r="92" spans="24:24" x14ac:dyDescent="0.3">
      <c r="X92" s="23"/>
    </row>
    <row r="93" spans="24:24" x14ac:dyDescent="0.3">
      <c r="X93" s="23"/>
    </row>
    <row r="94" spans="24:24" x14ac:dyDescent="0.3">
      <c r="X94" s="23"/>
    </row>
    <row r="95" spans="24:24" x14ac:dyDescent="0.3">
      <c r="X95" s="23"/>
    </row>
    <row r="96" spans="24:24" x14ac:dyDescent="0.3">
      <c r="X96" s="23"/>
    </row>
    <row r="97" spans="24:24" x14ac:dyDescent="0.3">
      <c r="X97" s="23"/>
    </row>
    <row r="98" spans="24:24" x14ac:dyDescent="0.3">
      <c r="X98" s="23"/>
    </row>
    <row r="99" spans="24:24" x14ac:dyDescent="0.3">
      <c r="X99" s="23"/>
    </row>
    <row r="100" spans="24:24" x14ac:dyDescent="0.3">
      <c r="X100" s="23"/>
    </row>
    <row r="101" spans="24:24" x14ac:dyDescent="0.3">
      <c r="X101" s="23"/>
    </row>
    <row r="102" spans="24:24" x14ac:dyDescent="0.3">
      <c r="X102" s="23"/>
    </row>
    <row r="103" spans="24:24" x14ac:dyDescent="0.3">
      <c r="X103" s="23"/>
    </row>
    <row r="104" spans="24:24" x14ac:dyDescent="0.3">
      <c r="X104" s="23"/>
    </row>
    <row r="105" spans="24:24" x14ac:dyDescent="0.3">
      <c r="X105" s="23"/>
    </row>
    <row r="106" spans="24:24" x14ac:dyDescent="0.3">
      <c r="X106" s="23"/>
    </row>
    <row r="107" spans="24:24" x14ac:dyDescent="0.3">
      <c r="X107" s="23"/>
    </row>
    <row r="108" spans="24:24" x14ac:dyDescent="0.3">
      <c r="X108" s="23"/>
    </row>
    <row r="109" spans="24:24" x14ac:dyDescent="0.3">
      <c r="X109" s="23"/>
    </row>
    <row r="110" spans="24:24" x14ac:dyDescent="0.3">
      <c r="X110" s="23"/>
    </row>
    <row r="111" spans="24:24" x14ac:dyDescent="0.3">
      <c r="X111" s="23"/>
    </row>
    <row r="112" spans="24:24" x14ac:dyDescent="0.3">
      <c r="X112" s="23"/>
    </row>
    <row r="113" spans="24:24" x14ac:dyDescent="0.3">
      <c r="X113" s="23"/>
    </row>
    <row r="114" spans="24:24" x14ac:dyDescent="0.3">
      <c r="X114" s="23"/>
    </row>
    <row r="115" spans="24:24" x14ac:dyDescent="0.3">
      <c r="X115" s="23"/>
    </row>
    <row r="116" spans="24:24" x14ac:dyDescent="0.3">
      <c r="X116" s="23"/>
    </row>
    <row r="117" spans="24:24" x14ac:dyDescent="0.3">
      <c r="X117" s="23"/>
    </row>
    <row r="118" spans="24:24" x14ac:dyDescent="0.3">
      <c r="X118" s="23"/>
    </row>
    <row r="119" spans="24:24" x14ac:dyDescent="0.3">
      <c r="X119" s="23"/>
    </row>
    <row r="120" spans="24:24" x14ac:dyDescent="0.3">
      <c r="X120" s="23"/>
    </row>
    <row r="121" spans="24:24" x14ac:dyDescent="0.3">
      <c r="X121" s="23"/>
    </row>
    <row r="122" spans="24:24" x14ac:dyDescent="0.3">
      <c r="X122" s="23"/>
    </row>
    <row r="123" spans="24:24" x14ac:dyDescent="0.3">
      <c r="X123" s="23"/>
    </row>
    <row r="124" spans="24:24" x14ac:dyDescent="0.3">
      <c r="X124" s="23"/>
    </row>
    <row r="125" spans="24:24" x14ac:dyDescent="0.3">
      <c r="X125" s="23"/>
    </row>
    <row r="126" spans="24:24" x14ac:dyDescent="0.3">
      <c r="X126" s="23"/>
    </row>
    <row r="127" spans="24:24" x14ac:dyDescent="0.3">
      <c r="X127" s="23"/>
    </row>
    <row r="128" spans="24:24" x14ac:dyDescent="0.3">
      <c r="X128" s="23"/>
    </row>
    <row r="129" spans="24:24" x14ac:dyDescent="0.3">
      <c r="X129" s="23"/>
    </row>
    <row r="130" spans="24:24" x14ac:dyDescent="0.3">
      <c r="X130" s="23"/>
    </row>
    <row r="131" spans="24:24" x14ac:dyDescent="0.3">
      <c r="X131" s="23"/>
    </row>
    <row r="132" spans="24:24" x14ac:dyDescent="0.3">
      <c r="X132" s="23"/>
    </row>
    <row r="133" spans="24:24" x14ac:dyDescent="0.3">
      <c r="X133" s="23"/>
    </row>
    <row r="134" spans="24:24" x14ac:dyDescent="0.3">
      <c r="X134" s="23"/>
    </row>
    <row r="135" spans="24:24" x14ac:dyDescent="0.3">
      <c r="X135" s="23"/>
    </row>
    <row r="136" spans="24:24" x14ac:dyDescent="0.3">
      <c r="X136" s="23"/>
    </row>
    <row r="137" spans="24:24" x14ac:dyDescent="0.3">
      <c r="X137" s="23"/>
    </row>
    <row r="138" spans="24:24" x14ac:dyDescent="0.3">
      <c r="X138" s="23"/>
    </row>
    <row r="139" spans="24:24" x14ac:dyDescent="0.3">
      <c r="X139" s="23"/>
    </row>
    <row r="140" spans="24:24" x14ac:dyDescent="0.3">
      <c r="X140" s="23"/>
    </row>
    <row r="141" spans="24:24" x14ac:dyDescent="0.3">
      <c r="X141" s="23"/>
    </row>
    <row r="142" spans="24:24" x14ac:dyDescent="0.3">
      <c r="X142" s="23"/>
    </row>
    <row r="143" spans="24:24" x14ac:dyDescent="0.3">
      <c r="X143" s="23"/>
    </row>
    <row r="144" spans="24:24" x14ac:dyDescent="0.3">
      <c r="X144" s="23"/>
    </row>
    <row r="145" spans="24:24" x14ac:dyDescent="0.3">
      <c r="X145" s="23"/>
    </row>
    <row r="146" spans="24:24" x14ac:dyDescent="0.3">
      <c r="X146" s="23"/>
    </row>
    <row r="147" spans="24:24" x14ac:dyDescent="0.3">
      <c r="X147" s="23"/>
    </row>
    <row r="148" spans="24:24" x14ac:dyDescent="0.3">
      <c r="X148" s="23"/>
    </row>
    <row r="149" spans="24:24" x14ac:dyDescent="0.3">
      <c r="X149" s="23"/>
    </row>
    <row r="150" spans="24:24" x14ac:dyDescent="0.3">
      <c r="X150" s="23"/>
    </row>
    <row r="151" spans="24:24" x14ac:dyDescent="0.3">
      <c r="X151" s="23"/>
    </row>
    <row r="152" spans="24:24" x14ac:dyDescent="0.3">
      <c r="X152" s="23"/>
    </row>
    <row r="153" spans="24:24" x14ac:dyDescent="0.3">
      <c r="X153" s="23"/>
    </row>
    <row r="154" spans="24:24" x14ac:dyDescent="0.3">
      <c r="X154" s="23"/>
    </row>
    <row r="155" spans="24:24" x14ac:dyDescent="0.3">
      <c r="X155" s="23"/>
    </row>
    <row r="156" spans="24:24" x14ac:dyDescent="0.3">
      <c r="X156" s="23"/>
    </row>
    <row r="157" spans="24:24" x14ac:dyDescent="0.3">
      <c r="X157" s="23"/>
    </row>
    <row r="158" spans="24:24" x14ac:dyDescent="0.3">
      <c r="X158" s="23"/>
    </row>
    <row r="159" spans="24:24" x14ac:dyDescent="0.3">
      <c r="X159" s="23"/>
    </row>
    <row r="160" spans="24:24" x14ac:dyDescent="0.3">
      <c r="X160" s="23"/>
    </row>
    <row r="161" spans="24:24" x14ac:dyDescent="0.3">
      <c r="X161" s="23"/>
    </row>
    <row r="162" spans="24:24" x14ac:dyDescent="0.3">
      <c r="X162" s="23"/>
    </row>
    <row r="163" spans="24:24" x14ac:dyDescent="0.3">
      <c r="X163" s="23"/>
    </row>
    <row r="164" spans="24:24" x14ac:dyDescent="0.3">
      <c r="X164" s="23"/>
    </row>
    <row r="165" spans="24:24" x14ac:dyDescent="0.3">
      <c r="X165" s="23"/>
    </row>
    <row r="166" spans="24:24" x14ac:dyDescent="0.3">
      <c r="X166" s="23"/>
    </row>
    <row r="167" spans="24:24" x14ac:dyDescent="0.3">
      <c r="X167" s="23"/>
    </row>
    <row r="168" spans="24:24" x14ac:dyDescent="0.3">
      <c r="X168" s="23"/>
    </row>
    <row r="169" spans="24:24" x14ac:dyDescent="0.3">
      <c r="X169" s="23"/>
    </row>
    <row r="170" spans="24:24" x14ac:dyDescent="0.3">
      <c r="X170" s="23"/>
    </row>
    <row r="171" spans="24:24" x14ac:dyDescent="0.3">
      <c r="X171" s="23"/>
    </row>
    <row r="172" spans="24:24" x14ac:dyDescent="0.3">
      <c r="X172" s="23"/>
    </row>
    <row r="173" spans="24:24" x14ac:dyDescent="0.3">
      <c r="X173" s="23"/>
    </row>
    <row r="174" spans="24:24" x14ac:dyDescent="0.3">
      <c r="X174" s="23"/>
    </row>
    <row r="175" spans="24:24" x14ac:dyDescent="0.3">
      <c r="X175" s="23"/>
    </row>
    <row r="176" spans="24:24" x14ac:dyDescent="0.3">
      <c r="X176" s="23"/>
    </row>
    <row r="177" spans="24:24" x14ac:dyDescent="0.3">
      <c r="X177" s="23"/>
    </row>
    <row r="178" spans="24:24" x14ac:dyDescent="0.3">
      <c r="X178" s="23"/>
    </row>
    <row r="179" spans="24:24" x14ac:dyDescent="0.3">
      <c r="X179" s="23"/>
    </row>
    <row r="180" spans="24:24" x14ac:dyDescent="0.3">
      <c r="X180" s="23"/>
    </row>
    <row r="181" spans="24:24" x14ac:dyDescent="0.3">
      <c r="X181" s="23"/>
    </row>
    <row r="182" spans="24:24" x14ac:dyDescent="0.3">
      <c r="X182" s="23"/>
    </row>
    <row r="183" spans="24:24" x14ac:dyDescent="0.3">
      <c r="X183" s="23"/>
    </row>
    <row r="184" spans="24:24" x14ac:dyDescent="0.3">
      <c r="X184" s="23"/>
    </row>
    <row r="185" spans="24:24" x14ac:dyDescent="0.3">
      <c r="X185" s="23"/>
    </row>
    <row r="186" spans="24:24" x14ac:dyDescent="0.3">
      <c r="X186" s="23"/>
    </row>
    <row r="187" spans="24:24" x14ac:dyDescent="0.3">
      <c r="X187" s="23"/>
    </row>
    <row r="188" spans="24:24" x14ac:dyDescent="0.3">
      <c r="X188" s="23"/>
    </row>
    <row r="189" spans="24:24" x14ac:dyDescent="0.3">
      <c r="X189" s="23"/>
    </row>
    <row r="190" spans="24:24" x14ac:dyDescent="0.3">
      <c r="X190" s="23"/>
    </row>
    <row r="191" spans="24:24" x14ac:dyDescent="0.3">
      <c r="X191" s="23"/>
    </row>
    <row r="192" spans="24:24" x14ac:dyDescent="0.3">
      <c r="X192" s="23"/>
    </row>
    <row r="193" spans="24:24" x14ac:dyDescent="0.3">
      <c r="X193" s="23"/>
    </row>
    <row r="194" spans="24:24" x14ac:dyDescent="0.3">
      <c r="X194" s="23"/>
    </row>
    <row r="195" spans="24:24" x14ac:dyDescent="0.3">
      <c r="X195" s="23"/>
    </row>
    <row r="196" spans="24:24" x14ac:dyDescent="0.3">
      <c r="X196" s="23"/>
    </row>
    <row r="197" spans="24:24" x14ac:dyDescent="0.3">
      <c r="X197" s="23"/>
    </row>
    <row r="198" spans="24:24" x14ac:dyDescent="0.3">
      <c r="X198" s="23"/>
    </row>
    <row r="199" spans="24:24" x14ac:dyDescent="0.3">
      <c r="X199" s="23"/>
    </row>
    <row r="200" spans="24:24" x14ac:dyDescent="0.3">
      <c r="X200" s="23"/>
    </row>
    <row r="201" spans="24:24" x14ac:dyDescent="0.3">
      <c r="X201" s="23"/>
    </row>
    <row r="202" spans="24:24" x14ac:dyDescent="0.3">
      <c r="X202" s="23"/>
    </row>
    <row r="203" spans="24:24" x14ac:dyDescent="0.3">
      <c r="X203" s="23"/>
    </row>
    <row r="204" spans="24:24" x14ac:dyDescent="0.3">
      <c r="X204" s="23"/>
    </row>
    <row r="205" spans="24:24" x14ac:dyDescent="0.3">
      <c r="X205" s="23"/>
    </row>
    <row r="206" spans="24:24" x14ac:dyDescent="0.3">
      <c r="X206" s="23"/>
    </row>
    <row r="207" spans="24:24" x14ac:dyDescent="0.3">
      <c r="X207" s="23"/>
    </row>
    <row r="208" spans="24:24" x14ac:dyDescent="0.3">
      <c r="X208" s="23"/>
    </row>
    <row r="209" spans="24:24" x14ac:dyDescent="0.3">
      <c r="X209" s="23"/>
    </row>
    <row r="210" spans="24:24" x14ac:dyDescent="0.3">
      <c r="X210" s="23"/>
    </row>
    <row r="211" spans="24:24" x14ac:dyDescent="0.3">
      <c r="X211" s="23"/>
    </row>
    <row r="212" spans="24:24" x14ac:dyDescent="0.3">
      <c r="X212" s="23"/>
    </row>
    <row r="213" spans="24:24" x14ac:dyDescent="0.3">
      <c r="X213" s="23"/>
    </row>
    <row r="214" spans="24:24" x14ac:dyDescent="0.3">
      <c r="X214" s="23"/>
    </row>
    <row r="215" spans="24:24" x14ac:dyDescent="0.3">
      <c r="X215" s="23"/>
    </row>
    <row r="216" spans="24:24" x14ac:dyDescent="0.3">
      <c r="X216" s="23"/>
    </row>
    <row r="217" spans="24:24" x14ac:dyDescent="0.3">
      <c r="X217" s="23"/>
    </row>
    <row r="218" spans="24:24" x14ac:dyDescent="0.3">
      <c r="X218" s="23"/>
    </row>
    <row r="219" spans="24:24" x14ac:dyDescent="0.3">
      <c r="X219" s="23"/>
    </row>
    <row r="220" spans="24:24" x14ac:dyDescent="0.3">
      <c r="X220" s="23"/>
    </row>
    <row r="221" spans="24:24" x14ac:dyDescent="0.3">
      <c r="X221" s="23"/>
    </row>
    <row r="222" spans="24:24" x14ac:dyDescent="0.3">
      <c r="X222" s="23"/>
    </row>
    <row r="223" spans="24:24" x14ac:dyDescent="0.3">
      <c r="X223" s="23"/>
    </row>
    <row r="224" spans="24:24" x14ac:dyDescent="0.3">
      <c r="X224" s="23"/>
    </row>
    <row r="225" spans="24:24" x14ac:dyDescent="0.3">
      <c r="X225" s="23"/>
    </row>
    <row r="226" spans="24:24" x14ac:dyDescent="0.3">
      <c r="X226" s="23"/>
    </row>
    <row r="227" spans="24:24" x14ac:dyDescent="0.3">
      <c r="X227" s="23"/>
    </row>
    <row r="228" spans="24:24" x14ac:dyDescent="0.3">
      <c r="X228" s="23"/>
    </row>
    <row r="229" spans="24:24" x14ac:dyDescent="0.3">
      <c r="X229" s="23"/>
    </row>
    <row r="230" spans="24:24" x14ac:dyDescent="0.3">
      <c r="X230" s="23"/>
    </row>
    <row r="231" spans="24:24" x14ac:dyDescent="0.3">
      <c r="X231" s="23"/>
    </row>
    <row r="232" spans="24:24" x14ac:dyDescent="0.3">
      <c r="X232" s="23"/>
    </row>
    <row r="233" spans="24:24" x14ac:dyDescent="0.3">
      <c r="X233" s="23"/>
    </row>
    <row r="234" spans="24:24" x14ac:dyDescent="0.3">
      <c r="X234" s="23"/>
    </row>
    <row r="235" spans="24:24" x14ac:dyDescent="0.3">
      <c r="X235" s="23"/>
    </row>
    <row r="236" spans="24:24" x14ac:dyDescent="0.3">
      <c r="X236" s="23"/>
    </row>
    <row r="237" spans="24:24" x14ac:dyDescent="0.3">
      <c r="X237" s="23"/>
    </row>
    <row r="238" spans="24:24" x14ac:dyDescent="0.3">
      <c r="X238" s="23"/>
    </row>
    <row r="239" spans="24:24" x14ac:dyDescent="0.3">
      <c r="X239" s="23"/>
    </row>
    <row r="240" spans="24:24" x14ac:dyDescent="0.3">
      <c r="X240" s="23"/>
    </row>
    <row r="241" spans="24:24" x14ac:dyDescent="0.3">
      <c r="X241" s="23"/>
    </row>
    <row r="242" spans="24:24" x14ac:dyDescent="0.3">
      <c r="X242" s="23"/>
    </row>
    <row r="243" spans="24:24" x14ac:dyDescent="0.3">
      <c r="X243" s="23"/>
    </row>
    <row r="244" spans="24:24" x14ac:dyDescent="0.3">
      <c r="X244" s="23"/>
    </row>
    <row r="245" spans="24:24" x14ac:dyDescent="0.3">
      <c r="X245" s="23"/>
    </row>
    <row r="246" spans="24:24" x14ac:dyDescent="0.3">
      <c r="X246" s="23"/>
    </row>
    <row r="247" spans="24:24" x14ac:dyDescent="0.3">
      <c r="X247" s="23"/>
    </row>
    <row r="248" spans="24:24" x14ac:dyDescent="0.3">
      <c r="X248" s="23"/>
    </row>
    <row r="249" spans="24:24" x14ac:dyDescent="0.3">
      <c r="X249" s="23"/>
    </row>
    <row r="250" spans="24:24" x14ac:dyDescent="0.3">
      <c r="X250" s="23"/>
    </row>
    <row r="251" spans="24:24" x14ac:dyDescent="0.3">
      <c r="X251" s="23"/>
    </row>
    <row r="252" spans="24:24" x14ac:dyDescent="0.3">
      <c r="X252" s="23"/>
    </row>
    <row r="253" spans="24:24" x14ac:dyDescent="0.3">
      <c r="X253" s="23"/>
    </row>
    <row r="254" spans="24:24" x14ac:dyDescent="0.3">
      <c r="X254" s="23"/>
    </row>
    <row r="255" spans="24:24" x14ac:dyDescent="0.3">
      <c r="X255" s="23"/>
    </row>
    <row r="256" spans="24:24" x14ac:dyDescent="0.3">
      <c r="X256" s="23"/>
    </row>
    <row r="257" spans="24:24" x14ac:dyDescent="0.3">
      <c r="X257" s="23"/>
    </row>
    <row r="258" spans="24:24" x14ac:dyDescent="0.3">
      <c r="X258" s="23"/>
    </row>
    <row r="259" spans="24:24" x14ac:dyDescent="0.3">
      <c r="X259" s="23"/>
    </row>
    <row r="260" spans="24:24" x14ac:dyDescent="0.3">
      <c r="X260" s="23"/>
    </row>
    <row r="261" spans="24:24" x14ac:dyDescent="0.3">
      <c r="X261" s="23"/>
    </row>
    <row r="262" spans="24:24" x14ac:dyDescent="0.3">
      <c r="X262" s="23"/>
    </row>
    <row r="263" spans="24:24" x14ac:dyDescent="0.3">
      <c r="X263" s="23"/>
    </row>
    <row r="264" spans="24:24" x14ac:dyDescent="0.3">
      <c r="X264" s="23"/>
    </row>
    <row r="265" spans="24:24" x14ac:dyDescent="0.3">
      <c r="X265" s="23"/>
    </row>
    <row r="266" spans="24:24" x14ac:dyDescent="0.3">
      <c r="X266" s="23"/>
    </row>
    <row r="267" spans="24:24" x14ac:dyDescent="0.3">
      <c r="X267" s="23"/>
    </row>
    <row r="268" spans="24:24" x14ac:dyDescent="0.3">
      <c r="X268" s="23"/>
    </row>
    <row r="269" spans="24:24" x14ac:dyDescent="0.3">
      <c r="X269" s="23"/>
    </row>
    <row r="270" spans="24:24" x14ac:dyDescent="0.3">
      <c r="X270" s="23"/>
    </row>
    <row r="271" spans="24:24" x14ac:dyDescent="0.3">
      <c r="X271" s="23"/>
    </row>
    <row r="272" spans="24:24" x14ac:dyDescent="0.3">
      <c r="X272" s="23"/>
    </row>
    <row r="273" spans="24:24" x14ac:dyDescent="0.3">
      <c r="X273" s="23"/>
    </row>
    <row r="274" spans="24:24" x14ac:dyDescent="0.3">
      <c r="X274" s="23"/>
    </row>
    <row r="275" spans="24:24" x14ac:dyDescent="0.3">
      <c r="X275" s="23"/>
    </row>
    <row r="276" spans="24:24" x14ac:dyDescent="0.3">
      <c r="X276" s="23"/>
    </row>
    <row r="277" spans="24:24" x14ac:dyDescent="0.3">
      <c r="X277" s="23"/>
    </row>
    <row r="278" spans="24:24" x14ac:dyDescent="0.3">
      <c r="X278" s="23"/>
    </row>
    <row r="279" spans="24:24" x14ac:dyDescent="0.3">
      <c r="X279" s="23"/>
    </row>
    <row r="280" spans="24:24" x14ac:dyDescent="0.3">
      <c r="X280" s="23"/>
    </row>
    <row r="281" spans="24:24" x14ac:dyDescent="0.3">
      <c r="X281" s="23"/>
    </row>
    <row r="282" spans="24:24" x14ac:dyDescent="0.3">
      <c r="X282" s="23"/>
    </row>
    <row r="283" spans="24:24" x14ac:dyDescent="0.3">
      <c r="X283" s="23"/>
    </row>
    <row r="284" spans="24:24" x14ac:dyDescent="0.3">
      <c r="X284" s="23"/>
    </row>
    <row r="285" spans="24:24" x14ac:dyDescent="0.3">
      <c r="X285" s="23"/>
    </row>
    <row r="286" spans="24:24" x14ac:dyDescent="0.3">
      <c r="X286" s="23"/>
    </row>
    <row r="287" spans="24:24" x14ac:dyDescent="0.3">
      <c r="X287" s="23"/>
    </row>
    <row r="288" spans="24:24" x14ac:dyDescent="0.3">
      <c r="X288" s="23"/>
    </row>
    <row r="289" spans="24:24" x14ac:dyDescent="0.3">
      <c r="X289" s="23"/>
    </row>
    <row r="290" spans="24:24" x14ac:dyDescent="0.3">
      <c r="X290" s="23"/>
    </row>
    <row r="291" spans="24:24" x14ac:dyDescent="0.3">
      <c r="X291" s="23"/>
    </row>
    <row r="292" spans="24:24" x14ac:dyDescent="0.3">
      <c r="X292" s="23"/>
    </row>
    <row r="293" spans="24:24" x14ac:dyDescent="0.3">
      <c r="X293" s="23"/>
    </row>
    <row r="294" spans="24:24" x14ac:dyDescent="0.3">
      <c r="X294" s="23"/>
    </row>
    <row r="295" spans="24:24" x14ac:dyDescent="0.3">
      <c r="X295" s="23"/>
    </row>
    <row r="296" spans="24:24" x14ac:dyDescent="0.3">
      <c r="X296" s="23"/>
    </row>
    <row r="297" spans="24:24" x14ac:dyDescent="0.3">
      <c r="X297" s="23"/>
    </row>
    <row r="298" spans="24:24" x14ac:dyDescent="0.3">
      <c r="X298" s="23"/>
    </row>
    <row r="299" spans="24:24" x14ac:dyDescent="0.3">
      <c r="X299" s="23"/>
    </row>
    <row r="300" spans="24:24" x14ac:dyDescent="0.3">
      <c r="X300" s="23"/>
    </row>
    <row r="301" spans="24:24" x14ac:dyDescent="0.3">
      <c r="X301" s="23"/>
    </row>
    <row r="302" spans="24:24" x14ac:dyDescent="0.3">
      <c r="X302" s="23"/>
    </row>
    <row r="303" spans="24:24" x14ac:dyDescent="0.3">
      <c r="X303" s="23"/>
    </row>
    <row r="304" spans="24:24" x14ac:dyDescent="0.3">
      <c r="X304" s="23"/>
    </row>
    <row r="305" spans="24:24" x14ac:dyDescent="0.3">
      <c r="X305" s="23"/>
    </row>
    <row r="306" spans="24:24" x14ac:dyDescent="0.3">
      <c r="X306" s="23"/>
    </row>
    <row r="307" spans="24:24" x14ac:dyDescent="0.3">
      <c r="X307" s="23"/>
    </row>
    <row r="308" spans="24:24" x14ac:dyDescent="0.3">
      <c r="X308" s="23"/>
    </row>
    <row r="309" spans="24:24" x14ac:dyDescent="0.3">
      <c r="X309" s="23"/>
    </row>
    <row r="310" spans="24:24" x14ac:dyDescent="0.3">
      <c r="X310" s="23"/>
    </row>
    <row r="311" spans="24:24" x14ac:dyDescent="0.3">
      <c r="X311" s="23"/>
    </row>
    <row r="312" spans="24:24" x14ac:dyDescent="0.3">
      <c r="X312" s="23"/>
    </row>
    <row r="313" spans="24:24" x14ac:dyDescent="0.3">
      <c r="X313" s="23"/>
    </row>
    <row r="314" spans="24:24" x14ac:dyDescent="0.3">
      <c r="X314" s="23"/>
    </row>
    <row r="315" spans="24:24" x14ac:dyDescent="0.3">
      <c r="X315" s="23"/>
    </row>
    <row r="316" spans="24:24" x14ac:dyDescent="0.3">
      <c r="X316" s="23"/>
    </row>
    <row r="317" spans="24:24" x14ac:dyDescent="0.3">
      <c r="X317" s="23"/>
    </row>
    <row r="318" spans="24:24" x14ac:dyDescent="0.3">
      <c r="X318" s="23"/>
    </row>
    <row r="319" spans="24:24" x14ac:dyDescent="0.3">
      <c r="X319" s="23"/>
    </row>
    <row r="320" spans="24:24" x14ac:dyDescent="0.3">
      <c r="X320" s="23"/>
    </row>
    <row r="321" spans="24:24" x14ac:dyDescent="0.3">
      <c r="X321" s="23"/>
    </row>
    <row r="322" spans="24:24" x14ac:dyDescent="0.3">
      <c r="X322" s="23"/>
    </row>
    <row r="323" spans="24:24" x14ac:dyDescent="0.3">
      <c r="X323" s="23"/>
    </row>
    <row r="324" spans="24:24" x14ac:dyDescent="0.3">
      <c r="X324" s="23"/>
    </row>
    <row r="325" spans="24:24" x14ac:dyDescent="0.3">
      <c r="X325" s="23"/>
    </row>
    <row r="326" spans="24:24" x14ac:dyDescent="0.3">
      <c r="X326" s="23"/>
    </row>
    <row r="327" spans="24:24" x14ac:dyDescent="0.3">
      <c r="X327" s="23"/>
    </row>
    <row r="328" spans="24:24" x14ac:dyDescent="0.3">
      <c r="X328" s="23"/>
    </row>
    <row r="329" spans="24:24" x14ac:dyDescent="0.3">
      <c r="X329" s="23"/>
    </row>
    <row r="330" spans="24:24" x14ac:dyDescent="0.3">
      <c r="X330" s="23"/>
    </row>
    <row r="331" spans="24:24" x14ac:dyDescent="0.3">
      <c r="X331" s="23"/>
    </row>
    <row r="332" spans="24:24" x14ac:dyDescent="0.3">
      <c r="X332" s="23"/>
    </row>
    <row r="333" spans="24:24" x14ac:dyDescent="0.3">
      <c r="X333" s="23"/>
    </row>
    <row r="334" spans="24:24" x14ac:dyDescent="0.3">
      <c r="X334" s="23"/>
    </row>
    <row r="335" spans="24:24" x14ac:dyDescent="0.3">
      <c r="X335" s="23"/>
    </row>
    <row r="336" spans="24:24" x14ac:dyDescent="0.3">
      <c r="X336" s="23"/>
    </row>
    <row r="337" spans="24:24" x14ac:dyDescent="0.3">
      <c r="X337" s="23"/>
    </row>
    <row r="338" spans="24:24" x14ac:dyDescent="0.3">
      <c r="X338" s="23"/>
    </row>
    <row r="339" spans="24:24" x14ac:dyDescent="0.3">
      <c r="X339" s="23"/>
    </row>
    <row r="340" spans="24:24" x14ac:dyDescent="0.3">
      <c r="X340" s="23"/>
    </row>
    <row r="341" spans="24:24" x14ac:dyDescent="0.3">
      <c r="X341" s="23"/>
    </row>
    <row r="342" spans="24:24" x14ac:dyDescent="0.3">
      <c r="X342" s="23"/>
    </row>
    <row r="343" spans="24:24" x14ac:dyDescent="0.3">
      <c r="X343" s="23"/>
    </row>
    <row r="344" spans="24:24" x14ac:dyDescent="0.3">
      <c r="X344" s="23"/>
    </row>
    <row r="345" spans="24:24" x14ac:dyDescent="0.3">
      <c r="X345" s="23"/>
    </row>
    <row r="346" spans="24:24" x14ac:dyDescent="0.3">
      <c r="X346" s="23"/>
    </row>
    <row r="347" spans="24:24" x14ac:dyDescent="0.3">
      <c r="X347" s="23"/>
    </row>
    <row r="348" spans="24:24" x14ac:dyDescent="0.3">
      <c r="X348" s="23"/>
    </row>
    <row r="349" spans="24:24" x14ac:dyDescent="0.3">
      <c r="X349" s="23"/>
    </row>
    <row r="350" spans="24:24" x14ac:dyDescent="0.3">
      <c r="X350" s="23"/>
    </row>
    <row r="351" spans="24:24" x14ac:dyDescent="0.3">
      <c r="X351" s="23"/>
    </row>
    <row r="352" spans="24:24" x14ac:dyDescent="0.3">
      <c r="X352" s="23"/>
    </row>
    <row r="353" spans="24:24" x14ac:dyDescent="0.3">
      <c r="X353" s="23"/>
    </row>
    <row r="354" spans="24:24" x14ac:dyDescent="0.3">
      <c r="X354" s="23"/>
    </row>
    <row r="355" spans="24:24" x14ac:dyDescent="0.3">
      <c r="X355" s="23"/>
    </row>
    <row r="356" spans="24:24" x14ac:dyDescent="0.3">
      <c r="X356" s="23"/>
    </row>
    <row r="357" spans="24:24" x14ac:dyDescent="0.3">
      <c r="X357" s="23"/>
    </row>
    <row r="358" spans="24:24" x14ac:dyDescent="0.3">
      <c r="X358" s="23"/>
    </row>
    <row r="359" spans="24:24" x14ac:dyDescent="0.3">
      <c r="X359" s="23"/>
    </row>
    <row r="360" spans="24:24" x14ac:dyDescent="0.3">
      <c r="X360" s="23"/>
    </row>
    <row r="361" spans="24:24" x14ac:dyDescent="0.3">
      <c r="X361" s="23"/>
    </row>
    <row r="362" spans="24:24" x14ac:dyDescent="0.3">
      <c r="X362" s="23"/>
    </row>
    <row r="363" spans="24:24" x14ac:dyDescent="0.3">
      <c r="X363" s="23"/>
    </row>
    <row r="364" spans="24:24" x14ac:dyDescent="0.3">
      <c r="X364" s="23"/>
    </row>
    <row r="365" spans="24:24" x14ac:dyDescent="0.3">
      <c r="X365" s="23"/>
    </row>
    <row r="366" spans="24:24" x14ac:dyDescent="0.3">
      <c r="X366" s="23"/>
    </row>
    <row r="367" spans="24:24" x14ac:dyDescent="0.3">
      <c r="X367" s="23"/>
    </row>
    <row r="368" spans="24:24" x14ac:dyDescent="0.3">
      <c r="X368" s="23"/>
    </row>
    <row r="369" spans="24:24" x14ac:dyDescent="0.3">
      <c r="X369" s="23"/>
    </row>
    <row r="370" spans="24:24" x14ac:dyDescent="0.3">
      <c r="X370" s="23"/>
    </row>
    <row r="371" spans="24:24" x14ac:dyDescent="0.3">
      <c r="X371" s="23"/>
    </row>
    <row r="372" spans="24:24" x14ac:dyDescent="0.3">
      <c r="X372" s="23"/>
    </row>
    <row r="373" spans="24:24" x14ac:dyDescent="0.3">
      <c r="X373" s="23"/>
    </row>
    <row r="374" spans="24:24" x14ac:dyDescent="0.3">
      <c r="X374" s="23"/>
    </row>
    <row r="375" spans="24:24" x14ac:dyDescent="0.3">
      <c r="X375" s="23"/>
    </row>
    <row r="376" spans="24:24" x14ac:dyDescent="0.3">
      <c r="X376" s="23"/>
    </row>
    <row r="377" spans="24:24" x14ac:dyDescent="0.3">
      <c r="X377" s="23"/>
    </row>
    <row r="378" spans="24:24" x14ac:dyDescent="0.3">
      <c r="X378" s="23"/>
    </row>
    <row r="379" spans="24:24" x14ac:dyDescent="0.3">
      <c r="X379" s="23"/>
    </row>
    <row r="380" spans="24:24" x14ac:dyDescent="0.3">
      <c r="X380" s="23"/>
    </row>
    <row r="381" spans="24:24" x14ac:dyDescent="0.3">
      <c r="X381" s="23"/>
    </row>
    <row r="382" spans="24:24" x14ac:dyDescent="0.3">
      <c r="X382" s="23"/>
    </row>
    <row r="383" spans="24:24" x14ac:dyDescent="0.3">
      <c r="X383" s="23"/>
    </row>
    <row r="384" spans="24:24" x14ac:dyDescent="0.3">
      <c r="X384" s="23"/>
    </row>
    <row r="385" spans="24:24" x14ac:dyDescent="0.3">
      <c r="X385" s="23"/>
    </row>
    <row r="386" spans="24:24" x14ac:dyDescent="0.3">
      <c r="X386" s="23"/>
    </row>
    <row r="387" spans="24:24" x14ac:dyDescent="0.3">
      <c r="X387" s="23"/>
    </row>
    <row r="388" spans="24:24" x14ac:dyDescent="0.3">
      <c r="X388" s="23"/>
    </row>
    <row r="389" spans="24:24" x14ac:dyDescent="0.3">
      <c r="X389" s="23"/>
    </row>
    <row r="390" spans="24:24" x14ac:dyDescent="0.3">
      <c r="X390" s="23"/>
    </row>
    <row r="391" spans="24:24" x14ac:dyDescent="0.3">
      <c r="X391" s="23"/>
    </row>
    <row r="392" spans="24:24" x14ac:dyDescent="0.3">
      <c r="X392" s="23"/>
    </row>
    <row r="393" spans="24:24" x14ac:dyDescent="0.3">
      <c r="X393" s="23"/>
    </row>
    <row r="394" spans="24:24" x14ac:dyDescent="0.3">
      <c r="X394" s="23"/>
    </row>
    <row r="395" spans="24:24" x14ac:dyDescent="0.3">
      <c r="X395" s="23"/>
    </row>
    <row r="396" spans="24:24" x14ac:dyDescent="0.3">
      <c r="X396" s="23"/>
    </row>
    <row r="397" spans="24:24" x14ac:dyDescent="0.3">
      <c r="X397" s="23"/>
    </row>
    <row r="398" spans="24:24" x14ac:dyDescent="0.3">
      <c r="X398" s="23"/>
    </row>
    <row r="399" spans="24:24" x14ac:dyDescent="0.3">
      <c r="X399" s="23"/>
    </row>
    <row r="400" spans="24:24" x14ac:dyDescent="0.3">
      <c r="X400" s="23"/>
    </row>
    <row r="401" spans="24:24" x14ac:dyDescent="0.3">
      <c r="X401" s="23"/>
    </row>
    <row r="402" spans="24:24" x14ac:dyDescent="0.3">
      <c r="X402" s="23"/>
    </row>
    <row r="403" spans="24:24" x14ac:dyDescent="0.3">
      <c r="X403" s="23"/>
    </row>
    <row r="404" spans="24:24" x14ac:dyDescent="0.3">
      <c r="X404" s="23"/>
    </row>
    <row r="405" spans="24:24" x14ac:dyDescent="0.3">
      <c r="X405" s="23"/>
    </row>
    <row r="406" spans="24:24" x14ac:dyDescent="0.3">
      <c r="X406" s="23"/>
    </row>
    <row r="407" spans="24:24" x14ac:dyDescent="0.3">
      <c r="X407" s="23"/>
    </row>
    <row r="408" spans="24:24" x14ac:dyDescent="0.3">
      <c r="X408" s="23"/>
    </row>
    <row r="409" spans="24:24" x14ac:dyDescent="0.3">
      <c r="X409" s="23"/>
    </row>
    <row r="410" spans="24:24" x14ac:dyDescent="0.3">
      <c r="X410" s="23"/>
    </row>
    <row r="411" spans="24:24" x14ac:dyDescent="0.3">
      <c r="X411" s="23"/>
    </row>
    <row r="412" spans="24:24" x14ac:dyDescent="0.3">
      <c r="X412" s="23"/>
    </row>
    <row r="413" spans="24:24" x14ac:dyDescent="0.3">
      <c r="X413" s="23"/>
    </row>
    <row r="414" spans="24:24" x14ac:dyDescent="0.3">
      <c r="X414" s="23"/>
    </row>
    <row r="415" spans="24:24" x14ac:dyDescent="0.3">
      <c r="X415" s="23"/>
    </row>
    <row r="416" spans="24:24" x14ac:dyDescent="0.3">
      <c r="X416" s="23"/>
    </row>
    <row r="417" spans="24:24" x14ac:dyDescent="0.3">
      <c r="X417" s="23"/>
    </row>
    <row r="418" spans="24:24" x14ac:dyDescent="0.3">
      <c r="X418" s="23"/>
    </row>
    <row r="419" spans="24:24" x14ac:dyDescent="0.3">
      <c r="X419" s="23"/>
    </row>
    <row r="420" spans="24:24" x14ac:dyDescent="0.3">
      <c r="X420" s="23"/>
    </row>
    <row r="421" spans="24:24" x14ac:dyDescent="0.3">
      <c r="X421" s="23"/>
    </row>
    <row r="422" spans="24:24" x14ac:dyDescent="0.3">
      <c r="X422" s="23"/>
    </row>
    <row r="423" spans="24:24" x14ac:dyDescent="0.3">
      <c r="X423" s="23"/>
    </row>
    <row r="424" spans="24:24" x14ac:dyDescent="0.3">
      <c r="X424" s="23"/>
    </row>
    <row r="425" spans="24:24" x14ac:dyDescent="0.3">
      <c r="X425" s="23"/>
    </row>
    <row r="426" spans="24:24" x14ac:dyDescent="0.3">
      <c r="X426" s="23"/>
    </row>
    <row r="427" spans="24:24" x14ac:dyDescent="0.3">
      <c r="X427" s="23"/>
    </row>
    <row r="428" spans="24:24" x14ac:dyDescent="0.3">
      <c r="X428" s="23"/>
    </row>
    <row r="429" spans="24:24" x14ac:dyDescent="0.3">
      <c r="X429" s="23"/>
    </row>
    <row r="430" spans="24:24" x14ac:dyDescent="0.3">
      <c r="X430" s="23"/>
    </row>
    <row r="431" spans="24:24" x14ac:dyDescent="0.3">
      <c r="X431" s="23"/>
    </row>
    <row r="432" spans="24:24" x14ac:dyDescent="0.3">
      <c r="X432" s="23"/>
    </row>
    <row r="433" spans="24:24" x14ac:dyDescent="0.3">
      <c r="X433" s="23"/>
    </row>
    <row r="434" spans="24:24" x14ac:dyDescent="0.3">
      <c r="X434" s="23"/>
    </row>
    <row r="435" spans="24:24" x14ac:dyDescent="0.3">
      <c r="X435" s="23"/>
    </row>
    <row r="436" spans="24:24" x14ac:dyDescent="0.3">
      <c r="X436" s="23"/>
    </row>
    <row r="437" spans="24:24" x14ac:dyDescent="0.3">
      <c r="X437" s="23"/>
    </row>
    <row r="438" spans="24:24" x14ac:dyDescent="0.3">
      <c r="X438" s="23"/>
    </row>
    <row r="439" spans="24:24" x14ac:dyDescent="0.3">
      <c r="X439" s="23"/>
    </row>
    <row r="440" spans="24:24" x14ac:dyDescent="0.3">
      <c r="X440" s="23"/>
    </row>
    <row r="441" spans="24:24" x14ac:dyDescent="0.3">
      <c r="X441" s="23"/>
    </row>
    <row r="442" spans="24:24" x14ac:dyDescent="0.3">
      <c r="X442" s="23"/>
    </row>
    <row r="443" spans="24:24" x14ac:dyDescent="0.3">
      <c r="X443" s="23"/>
    </row>
    <row r="444" spans="24:24" x14ac:dyDescent="0.3">
      <c r="X444" s="23"/>
    </row>
    <row r="445" spans="24:24" x14ac:dyDescent="0.3">
      <c r="X445" s="23"/>
    </row>
    <row r="446" spans="24:24" x14ac:dyDescent="0.3">
      <c r="X446" s="23"/>
    </row>
    <row r="447" spans="24:24" x14ac:dyDescent="0.3">
      <c r="X447" s="23"/>
    </row>
    <row r="448" spans="24:24" x14ac:dyDescent="0.3">
      <c r="X448" s="23"/>
    </row>
    <row r="449" spans="24:24" x14ac:dyDescent="0.3">
      <c r="X449" s="23"/>
    </row>
    <row r="450" spans="24:24" x14ac:dyDescent="0.3">
      <c r="X450" s="23"/>
    </row>
    <row r="451" spans="24:24" x14ac:dyDescent="0.3">
      <c r="X451" s="23"/>
    </row>
    <row r="452" spans="24:24" x14ac:dyDescent="0.3">
      <c r="X452" s="23"/>
    </row>
    <row r="453" spans="24:24" x14ac:dyDescent="0.3">
      <c r="X453" s="23"/>
    </row>
    <row r="454" spans="24:24" x14ac:dyDescent="0.3">
      <c r="X454" s="23"/>
    </row>
    <row r="455" spans="24:24" x14ac:dyDescent="0.3">
      <c r="X455" s="23"/>
    </row>
    <row r="456" spans="24:24" x14ac:dyDescent="0.3">
      <c r="X456" s="23"/>
    </row>
    <row r="457" spans="24:24" x14ac:dyDescent="0.3">
      <c r="X457" s="23"/>
    </row>
    <row r="458" spans="24:24" x14ac:dyDescent="0.3">
      <c r="X458" s="23"/>
    </row>
    <row r="459" spans="24:24" x14ac:dyDescent="0.3">
      <c r="X459" s="23"/>
    </row>
    <row r="460" spans="24:24" x14ac:dyDescent="0.3">
      <c r="X460" s="23"/>
    </row>
    <row r="461" spans="24:24" x14ac:dyDescent="0.3">
      <c r="X461" s="23"/>
    </row>
    <row r="462" spans="24:24" x14ac:dyDescent="0.3">
      <c r="X462" s="23"/>
    </row>
    <row r="463" spans="24:24" x14ac:dyDescent="0.3">
      <c r="X463" s="23"/>
    </row>
    <row r="464" spans="24:24" x14ac:dyDescent="0.3">
      <c r="X464" s="23"/>
    </row>
    <row r="465" spans="24:24" x14ac:dyDescent="0.3">
      <c r="X465" s="23"/>
    </row>
    <row r="466" spans="24:24" x14ac:dyDescent="0.3">
      <c r="X466" s="23"/>
    </row>
    <row r="467" spans="24:24" x14ac:dyDescent="0.3">
      <c r="X467" s="23"/>
    </row>
    <row r="468" spans="24:24" x14ac:dyDescent="0.3">
      <c r="X468" s="23"/>
    </row>
    <row r="469" spans="24:24" x14ac:dyDescent="0.3">
      <c r="X469" s="23"/>
    </row>
    <row r="470" spans="24:24" x14ac:dyDescent="0.3">
      <c r="X470" s="23"/>
    </row>
    <row r="471" spans="24:24" x14ac:dyDescent="0.3">
      <c r="X471" s="23"/>
    </row>
    <row r="472" spans="24:24" x14ac:dyDescent="0.3">
      <c r="X472" s="23"/>
    </row>
    <row r="473" spans="24:24" x14ac:dyDescent="0.3">
      <c r="X473" s="23"/>
    </row>
    <row r="474" spans="24:24" x14ac:dyDescent="0.3">
      <c r="X474" s="23"/>
    </row>
    <row r="475" spans="24:24" x14ac:dyDescent="0.3">
      <c r="X475" s="23"/>
    </row>
    <row r="476" spans="24:24" x14ac:dyDescent="0.3">
      <c r="X476" s="23"/>
    </row>
    <row r="477" spans="24:24" x14ac:dyDescent="0.3">
      <c r="X477" s="23"/>
    </row>
    <row r="478" spans="24:24" x14ac:dyDescent="0.3">
      <c r="X478" s="23"/>
    </row>
    <row r="479" spans="24:24" x14ac:dyDescent="0.3">
      <c r="X479" s="23"/>
    </row>
    <row r="480" spans="24:24" x14ac:dyDescent="0.3">
      <c r="X480" s="23"/>
    </row>
    <row r="481" spans="24:24" x14ac:dyDescent="0.3">
      <c r="X481" s="23"/>
    </row>
    <row r="482" spans="24:24" x14ac:dyDescent="0.3">
      <c r="X482" s="23"/>
    </row>
    <row r="483" spans="24:24" x14ac:dyDescent="0.3">
      <c r="X483" s="23"/>
    </row>
    <row r="484" spans="24:24" x14ac:dyDescent="0.3">
      <c r="X484" s="23"/>
    </row>
    <row r="485" spans="24:24" x14ac:dyDescent="0.3">
      <c r="X485" s="23"/>
    </row>
    <row r="486" spans="24:24" x14ac:dyDescent="0.3">
      <c r="X486" s="23"/>
    </row>
    <row r="487" spans="24:24" x14ac:dyDescent="0.3">
      <c r="X487" s="23"/>
    </row>
    <row r="488" spans="24:24" x14ac:dyDescent="0.3">
      <c r="X488" s="23"/>
    </row>
    <row r="489" spans="24:24" x14ac:dyDescent="0.3">
      <c r="X489" s="23"/>
    </row>
    <row r="490" spans="24:24" x14ac:dyDescent="0.3">
      <c r="X490" s="23"/>
    </row>
    <row r="491" spans="24:24" x14ac:dyDescent="0.3">
      <c r="X491" s="23"/>
    </row>
    <row r="492" spans="24:24" x14ac:dyDescent="0.3">
      <c r="X492" s="23"/>
    </row>
    <row r="493" spans="24:24" x14ac:dyDescent="0.3">
      <c r="X493" s="23"/>
    </row>
    <row r="494" spans="24:24" x14ac:dyDescent="0.3">
      <c r="X494" s="23"/>
    </row>
    <row r="495" spans="24:24" x14ac:dyDescent="0.3">
      <c r="X495" s="23"/>
    </row>
    <row r="496" spans="24:24" x14ac:dyDescent="0.3">
      <c r="X496" s="23"/>
    </row>
    <row r="497" spans="24:24" x14ac:dyDescent="0.3">
      <c r="X497" s="23"/>
    </row>
    <row r="498" spans="24:24" x14ac:dyDescent="0.3">
      <c r="X498" s="23"/>
    </row>
    <row r="499" spans="24:24" x14ac:dyDescent="0.3">
      <c r="X499" s="23"/>
    </row>
    <row r="500" spans="24:24" x14ac:dyDescent="0.3">
      <c r="X500" s="23"/>
    </row>
    <row r="501" spans="24:24" x14ac:dyDescent="0.3">
      <c r="X501" s="23"/>
    </row>
    <row r="502" spans="24:24" x14ac:dyDescent="0.3">
      <c r="X502" s="23"/>
    </row>
    <row r="503" spans="24:24" x14ac:dyDescent="0.3">
      <c r="X503" s="23"/>
    </row>
    <row r="504" spans="24:24" x14ac:dyDescent="0.3">
      <c r="X504" s="23"/>
    </row>
    <row r="505" spans="24:24" x14ac:dyDescent="0.3">
      <c r="X505" s="23"/>
    </row>
    <row r="506" spans="24:24" x14ac:dyDescent="0.3">
      <c r="X506" s="23"/>
    </row>
    <row r="507" spans="24:24" x14ac:dyDescent="0.3">
      <c r="X507" s="23"/>
    </row>
    <row r="508" spans="24:24" x14ac:dyDescent="0.3">
      <c r="X508" s="23"/>
    </row>
    <row r="509" spans="24:24" x14ac:dyDescent="0.3">
      <c r="X509" s="23"/>
    </row>
    <row r="510" spans="24:24" x14ac:dyDescent="0.3">
      <c r="X510" s="23"/>
    </row>
    <row r="511" spans="24:24" x14ac:dyDescent="0.3">
      <c r="X511" s="23"/>
    </row>
    <row r="512" spans="24:24" x14ac:dyDescent="0.3">
      <c r="X512" s="23"/>
    </row>
    <row r="513" spans="24:24" x14ac:dyDescent="0.3">
      <c r="X513" s="23"/>
    </row>
    <row r="514" spans="24:24" x14ac:dyDescent="0.3">
      <c r="X514" s="23"/>
    </row>
    <row r="515" spans="24:24" x14ac:dyDescent="0.3">
      <c r="X515" s="23"/>
    </row>
    <row r="516" spans="24:24" x14ac:dyDescent="0.3">
      <c r="X516" s="23"/>
    </row>
    <row r="517" spans="24:24" x14ac:dyDescent="0.3">
      <c r="X517" s="23"/>
    </row>
    <row r="518" spans="24:24" x14ac:dyDescent="0.3">
      <c r="X518" s="23"/>
    </row>
    <row r="519" spans="24:24" x14ac:dyDescent="0.3">
      <c r="X519" s="23"/>
    </row>
    <row r="520" spans="24:24" x14ac:dyDescent="0.3">
      <c r="X520" s="23"/>
    </row>
    <row r="521" spans="24:24" x14ac:dyDescent="0.3">
      <c r="X521" s="23"/>
    </row>
    <row r="522" spans="24:24" x14ac:dyDescent="0.3">
      <c r="X522" s="23"/>
    </row>
    <row r="523" spans="24:24" x14ac:dyDescent="0.3">
      <c r="X523" s="23"/>
    </row>
    <row r="524" spans="24:24" x14ac:dyDescent="0.3">
      <c r="X524" s="23"/>
    </row>
    <row r="525" spans="24:24" x14ac:dyDescent="0.3">
      <c r="X525" s="23"/>
    </row>
    <row r="526" spans="24:24" x14ac:dyDescent="0.3">
      <c r="X526" s="23"/>
    </row>
    <row r="527" spans="24:24" x14ac:dyDescent="0.3">
      <c r="X527" s="23"/>
    </row>
    <row r="528" spans="24:24" x14ac:dyDescent="0.3">
      <c r="X528" s="23"/>
    </row>
    <row r="529" spans="24:24" x14ac:dyDescent="0.3">
      <c r="X529" s="23"/>
    </row>
    <row r="530" spans="24:24" x14ac:dyDescent="0.3">
      <c r="X530" s="23"/>
    </row>
    <row r="531" spans="24:24" x14ac:dyDescent="0.3">
      <c r="X531" s="23"/>
    </row>
    <row r="532" spans="24:24" x14ac:dyDescent="0.3">
      <c r="X532" s="23"/>
    </row>
    <row r="533" spans="24:24" x14ac:dyDescent="0.3">
      <c r="X533" s="23"/>
    </row>
    <row r="534" spans="24:24" x14ac:dyDescent="0.3">
      <c r="X534" s="23"/>
    </row>
    <row r="535" spans="24:24" x14ac:dyDescent="0.3">
      <c r="X535" s="23"/>
    </row>
    <row r="536" spans="24:24" x14ac:dyDescent="0.3">
      <c r="X536" s="23"/>
    </row>
    <row r="537" spans="24:24" x14ac:dyDescent="0.3">
      <c r="X537" s="23"/>
    </row>
    <row r="538" spans="24:24" x14ac:dyDescent="0.3">
      <c r="X538" s="23"/>
    </row>
    <row r="539" spans="24:24" x14ac:dyDescent="0.3">
      <c r="X539" s="23"/>
    </row>
    <row r="540" spans="24:24" x14ac:dyDescent="0.3">
      <c r="X540" s="23"/>
    </row>
    <row r="541" spans="24:24" x14ac:dyDescent="0.3">
      <c r="X541" s="23"/>
    </row>
    <row r="542" spans="24:24" x14ac:dyDescent="0.3">
      <c r="X542" s="23"/>
    </row>
    <row r="543" spans="24:24" x14ac:dyDescent="0.3">
      <c r="X543" s="23"/>
    </row>
    <row r="544" spans="24:24" x14ac:dyDescent="0.3">
      <c r="X544" s="23"/>
    </row>
    <row r="545" spans="24:24" x14ac:dyDescent="0.3">
      <c r="X545" s="23"/>
    </row>
    <row r="546" spans="24:24" x14ac:dyDescent="0.3">
      <c r="X546" s="23"/>
    </row>
    <row r="547" spans="24:24" x14ac:dyDescent="0.3">
      <c r="X547" s="23"/>
    </row>
    <row r="548" spans="24:24" x14ac:dyDescent="0.3">
      <c r="X548" s="23"/>
    </row>
    <row r="549" spans="24:24" x14ac:dyDescent="0.3">
      <c r="X549" s="23"/>
    </row>
    <row r="550" spans="24:24" x14ac:dyDescent="0.3">
      <c r="X550" s="23"/>
    </row>
    <row r="551" spans="24:24" x14ac:dyDescent="0.3">
      <c r="X551" s="23"/>
    </row>
    <row r="552" spans="24:24" x14ac:dyDescent="0.3">
      <c r="X552" s="23"/>
    </row>
    <row r="553" spans="24:24" x14ac:dyDescent="0.3">
      <c r="X553" s="23"/>
    </row>
    <row r="554" spans="24:24" x14ac:dyDescent="0.3">
      <c r="X554" s="23"/>
    </row>
    <row r="555" spans="24:24" x14ac:dyDescent="0.3">
      <c r="X555" s="23"/>
    </row>
    <row r="556" spans="24:24" x14ac:dyDescent="0.3">
      <c r="X556" s="23"/>
    </row>
    <row r="557" spans="24:24" x14ac:dyDescent="0.3">
      <c r="X557" s="23"/>
    </row>
    <row r="558" spans="24:24" x14ac:dyDescent="0.3">
      <c r="X558" s="23"/>
    </row>
    <row r="559" spans="24:24" x14ac:dyDescent="0.3">
      <c r="X559" s="23"/>
    </row>
    <row r="560" spans="24:24" x14ac:dyDescent="0.3">
      <c r="X560" s="23"/>
    </row>
    <row r="561" spans="24:24" x14ac:dyDescent="0.3">
      <c r="X561" s="23"/>
    </row>
    <row r="562" spans="24:24" x14ac:dyDescent="0.3">
      <c r="X562" s="23"/>
    </row>
    <row r="563" spans="24:24" x14ac:dyDescent="0.3">
      <c r="X563" s="23"/>
    </row>
    <row r="564" spans="24:24" x14ac:dyDescent="0.3">
      <c r="X564" s="23"/>
    </row>
    <row r="565" spans="24:24" x14ac:dyDescent="0.3">
      <c r="X565" s="23"/>
    </row>
    <row r="566" spans="24:24" x14ac:dyDescent="0.3">
      <c r="X566" s="23"/>
    </row>
    <row r="567" spans="24:24" x14ac:dyDescent="0.3">
      <c r="X567" s="23"/>
    </row>
    <row r="568" spans="24:24" x14ac:dyDescent="0.3">
      <c r="X568" s="23"/>
    </row>
    <row r="569" spans="24:24" x14ac:dyDescent="0.3">
      <c r="X569" s="23"/>
    </row>
    <row r="570" spans="24:24" x14ac:dyDescent="0.3">
      <c r="X570" s="23"/>
    </row>
    <row r="571" spans="24:24" x14ac:dyDescent="0.3">
      <c r="X571" s="23"/>
    </row>
    <row r="572" spans="24:24" x14ac:dyDescent="0.3">
      <c r="X572" s="23"/>
    </row>
    <row r="573" spans="24:24" x14ac:dyDescent="0.3">
      <c r="X573" s="23"/>
    </row>
    <row r="574" spans="24:24" x14ac:dyDescent="0.3">
      <c r="X574" s="23"/>
    </row>
    <row r="575" spans="24:24" x14ac:dyDescent="0.3">
      <c r="X575" s="23"/>
    </row>
    <row r="576" spans="24:24" x14ac:dyDescent="0.3">
      <c r="X576" s="23"/>
    </row>
    <row r="577" spans="24:24" x14ac:dyDescent="0.3">
      <c r="X577" s="23"/>
    </row>
    <row r="578" spans="24:24" x14ac:dyDescent="0.3">
      <c r="X578" s="23"/>
    </row>
    <row r="579" spans="24:24" x14ac:dyDescent="0.3">
      <c r="X579" s="23"/>
    </row>
    <row r="580" spans="24:24" x14ac:dyDescent="0.3">
      <c r="X580" s="23"/>
    </row>
    <row r="581" spans="24:24" x14ac:dyDescent="0.3">
      <c r="X581" s="23"/>
    </row>
    <row r="582" spans="24:24" x14ac:dyDescent="0.3">
      <c r="X582" s="23"/>
    </row>
    <row r="583" spans="24:24" x14ac:dyDescent="0.3">
      <c r="X583" s="23"/>
    </row>
    <row r="584" spans="24:24" x14ac:dyDescent="0.3">
      <c r="X584" s="23"/>
    </row>
    <row r="585" spans="24:24" x14ac:dyDescent="0.3">
      <c r="X585" s="23"/>
    </row>
    <row r="586" spans="24:24" x14ac:dyDescent="0.3">
      <c r="X586" s="23"/>
    </row>
    <row r="587" spans="24:24" x14ac:dyDescent="0.3">
      <c r="X587" s="23"/>
    </row>
    <row r="588" spans="24:24" x14ac:dyDescent="0.3">
      <c r="X588" s="23"/>
    </row>
    <row r="589" spans="24:24" x14ac:dyDescent="0.3">
      <c r="X589" s="23"/>
    </row>
    <row r="590" spans="24:24" x14ac:dyDescent="0.3">
      <c r="X590" s="23"/>
    </row>
    <row r="591" spans="24:24" x14ac:dyDescent="0.3">
      <c r="X591" s="23"/>
    </row>
    <row r="592" spans="24:24" x14ac:dyDescent="0.3">
      <c r="X592" s="23"/>
    </row>
    <row r="593" spans="24:24" x14ac:dyDescent="0.3">
      <c r="X593" s="23"/>
    </row>
    <row r="594" spans="24:24" x14ac:dyDescent="0.3">
      <c r="X594" s="23"/>
    </row>
    <row r="595" spans="24:24" x14ac:dyDescent="0.3">
      <c r="X595" s="23"/>
    </row>
    <row r="596" spans="24:24" x14ac:dyDescent="0.3">
      <c r="X596" s="23"/>
    </row>
    <row r="597" spans="24:24" x14ac:dyDescent="0.3">
      <c r="X597" s="23"/>
    </row>
    <row r="598" spans="24:24" x14ac:dyDescent="0.3">
      <c r="X598" s="23"/>
    </row>
    <row r="599" spans="24:24" x14ac:dyDescent="0.3">
      <c r="X599" s="23"/>
    </row>
    <row r="600" spans="24:24" x14ac:dyDescent="0.3">
      <c r="X600" s="23"/>
    </row>
    <row r="601" spans="24:24" x14ac:dyDescent="0.3">
      <c r="X601" s="23"/>
    </row>
    <row r="602" spans="24:24" x14ac:dyDescent="0.3">
      <c r="X602" s="23"/>
    </row>
    <row r="603" spans="24:24" x14ac:dyDescent="0.3">
      <c r="X603" s="23"/>
    </row>
    <row r="604" spans="24:24" x14ac:dyDescent="0.3">
      <c r="X604" s="23"/>
    </row>
    <row r="605" spans="24:24" x14ac:dyDescent="0.3">
      <c r="X605" s="23"/>
    </row>
    <row r="606" spans="24:24" x14ac:dyDescent="0.3">
      <c r="X606" s="23"/>
    </row>
    <row r="607" spans="24:24" x14ac:dyDescent="0.3">
      <c r="X607" s="23"/>
    </row>
    <row r="608" spans="24:24" x14ac:dyDescent="0.3">
      <c r="X608" s="23"/>
    </row>
    <row r="609" spans="24:24" x14ac:dyDescent="0.3">
      <c r="X609" s="23"/>
    </row>
    <row r="610" spans="24:24" x14ac:dyDescent="0.3">
      <c r="X610" s="23"/>
    </row>
    <row r="611" spans="24:24" x14ac:dyDescent="0.3">
      <c r="X611" s="23"/>
    </row>
    <row r="612" spans="24:24" x14ac:dyDescent="0.3">
      <c r="X612" s="23"/>
    </row>
    <row r="613" spans="24:24" x14ac:dyDescent="0.3">
      <c r="X613" s="23"/>
    </row>
    <row r="614" spans="24:24" x14ac:dyDescent="0.3">
      <c r="X614" s="23"/>
    </row>
    <row r="615" spans="24:24" x14ac:dyDescent="0.3">
      <c r="X615" s="23"/>
    </row>
    <row r="616" spans="24:24" x14ac:dyDescent="0.3">
      <c r="X616" s="23"/>
    </row>
    <row r="617" spans="24:24" x14ac:dyDescent="0.3">
      <c r="X617" s="23"/>
    </row>
    <row r="618" spans="24:24" x14ac:dyDescent="0.3">
      <c r="X618" s="23"/>
    </row>
    <row r="619" spans="24:24" x14ac:dyDescent="0.3">
      <c r="X619" s="23"/>
    </row>
    <row r="620" spans="24:24" x14ac:dyDescent="0.3">
      <c r="X620" s="23"/>
    </row>
    <row r="621" spans="24:24" x14ac:dyDescent="0.3">
      <c r="X621" s="23"/>
    </row>
    <row r="622" spans="24:24" x14ac:dyDescent="0.3">
      <c r="X622" s="23"/>
    </row>
    <row r="623" spans="24:24" x14ac:dyDescent="0.3">
      <c r="X623" s="23"/>
    </row>
    <row r="624" spans="24:24" x14ac:dyDescent="0.3">
      <c r="X624" s="23"/>
    </row>
    <row r="625" spans="24:24" x14ac:dyDescent="0.3">
      <c r="X625" s="23"/>
    </row>
    <row r="626" spans="24:24" x14ac:dyDescent="0.3">
      <c r="X626" s="23"/>
    </row>
    <row r="627" spans="24:24" x14ac:dyDescent="0.3">
      <c r="X627" s="23"/>
    </row>
    <row r="628" spans="24:24" x14ac:dyDescent="0.3">
      <c r="X628" s="23"/>
    </row>
    <row r="629" spans="24:24" x14ac:dyDescent="0.3">
      <c r="X629" s="23"/>
    </row>
    <row r="630" spans="24:24" x14ac:dyDescent="0.3">
      <c r="X630" s="23"/>
    </row>
    <row r="631" spans="24:24" x14ac:dyDescent="0.3">
      <c r="X631" s="23"/>
    </row>
    <row r="632" spans="24:24" x14ac:dyDescent="0.3">
      <c r="X632" s="23"/>
    </row>
    <row r="633" spans="24:24" x14ac:dyDescent="0.3">
      <c r="X633" s="23"/>
    </row>
    <row r="634" spans="24:24" x14ac:dyDescent="0.3">
      <c r="X634" s="23"/>
    </row>
    <row r="635" spans="24:24" x14ac:dyDescent="0.3">
      <c r="X635" s="23"/>
    </row>
    <row r="636" spans="24:24" x14ac:dyDescent="0.3">
      <c r="X636" s="23"/>
    </row>
    <row r="637" spans="24:24" x14ac:dyDescent="0.3">
      <c r="X637" s="23"/>
    </row>
    <row r="638" spans="24:24" x14ac:dyDescent="0.3">
      <c r="X638" s="23"/>
    </row>
    <row r="639" spans="24:24" x14ac:dyDescent="0.3">
      <c r="X639" s="23"/>
    </row>
    <row r="640" spans="24:24" x14ac:dyDescent="0.3">
      <c r="X640" s="23"/>
    </row>
    <row r="641" spans="24:24" x14ac:dyDescent="0.3">
      <c r="X641" s="23"/>
    </row>
    <row r="642" spans="24:24" x14ac:dyDescent="0.3">
      <c r="X642" s="23"/>
    </row>
    <row r="643" spans="24:24" x14ac:dyDescent="0.3">
      <c r="X643" s="23"/>
    </row>
    <row r="644" spans="24:24" x14ac:dyDescent="0.3">
      <c r="X644" s="23"/>
    </row>
    <row r="645" spans="24:24" x14ac:dyDescent="0.3">
      <c r="X645" s="23"/>
    </row>
    <row r="646" spans="24:24" x14ac:dyDescent="0.3">
      <c r="X646" s="23"/>
    </row>
    <row r="647" spans="24:24" x14ac:dyDescent="0.3">
      <c r="X647" s="23"/>
    </row>
    <row r="648" spans="24:24" x14ac:dyDescent="0.3">
      <c r="X648" s="23"/>
    </row>
    <row r="649" spans="24:24" x14ac:dyDescent="0.3">
      <c r="X649" s="23"/>
    </row>
    <row r="650" spans="24:24" x14ac:dyDescent="0.3">
      <c r="X650" s="23"/>
    </row>
    <row r="651" spans="24:24" x14ac:dyDescent="0.3">
      <c r="X651" s="23"/>
    </row>
    <row r="652" spans="24:24" x14ac:dyDescent="0.3">
      <c r="X652" s="23"/>
    </row>
    <row r="653" spans="24:24" x14ac:dyDescent="0.3">
      <c r="X653" s="23"/>
    </row>
    <row r="654" spans="24:24" x14ac:dyDescent="0.3">
      <c r="X654" s="23"/>
    </row>
    <row r="655" spans="24:24" x14ac:dyDescent="0.3">
      <c r="X655" s="23"/>
    </row>
    <row r="656" spans="24:24" x14ac:dyDescent="0.3">
      <c r="X656" s="23"/>
    </row>
    <row r="657" spans="24:24" x14ac:dyDescent="0.3">
      <c r="X657" s="23"/>
    </row>
    <row r="658" spans="24:24" x14ac:dyDescent="0.3">
      <c r="X658" s="23"/>
    </row>
    <row r="659" spans="24:24" x14ac:dyDescent="0.3">
      <c r="X659" s="23"/>
    </row>
    <row r="660" spans="24:24" x14ac:dyDescent="0.3">
      <c r="X660" s="23"/>
    </row>
    <row r="661" spans="24:24" x14ac:dyDescent="0.3">
      <c r="X661" s="23"/>
    </row>
    <row r="662" spans="24:24" x14ac:dyDescent="0.3">
      <c r="X662" s="23"/>
    </row>
    <row r="663" spans="24:24" x14ac:dyDescent="0.3">
      <c r="X663" s="23"/>
    </row>
    <row r="664" spans="24:24" x14ac:dyDescent="0.3">
      <c r="X664" s="23"/>
    </row>
    <row r="665" spans="24:24" x14ac:dyDescent="0.3">
      <c r="X665" s="23"/>
    </row>
    <row r="666" spans="24:24" x14ac:dyDescent="0.3">
      <c r="X666" s="23"/>
    </row>
    <row r="667" spans="24:24" x14ac:dyDescent="0.3">
      <c r="X667" s="23"/>
    </row>
    <row r="668" spans="24:24" x14ac:dyDescent="0.3">
      <c r="X668" s="23"/>
    </row>
    <row r="669" spans="24:24" x14ac:dyDescent="0.3">
      <c r="X669" s="23"/>
    </row>
    <row r="670" spans="24:24" x14ac:dyDescent="0.3">
      <c r="X670" s="23"/>
    </row>
    <row r="671" spans="24:24" x14ac:dyDescent="0.3">
      <c r="X671" s="23"/>
    </row>
    <row r="672" spans="24:24" x14ac:dyDescent="0.3">
      <c r="X672" s="23"/>
    </row>
    <row r="673" spans="24:24" x14ac:dyDescent="0.3">
      <c r="X673" s="23"/>
    </row>
    <row r="674" spans="24:24" x14ac:dyDescent="0.3">
      <c r="X674" s="23"/>
    </row>
    <row r="675" spans="24:24" x14ac:dyDescent="0.3">
      <c r="X675" s="23"/>
    </row>
    <row r="676" spans="24:24" x14ac:dyDescent="0.3">
      <c r="X676" s="23"/>
    </row>
    <row r="677" spans="24:24" x14ac:dyDescent="0.3">
      <c r="X677" s="23"/>
    </row>
    <row r="678" spans="24:24" x14ac:dyDescent="0.3">
      <c r="X678" s="23"/>
    </row>
    <row r="679" spans="24:24" x14ac:dyDescent="0.3">
      <c r="X679" s="23"/>
    </row>
    <row r="680" spans="24:24" x14ac:dyDescent="0.3">
      <c r="X680" s="23"/>
    </row>
    <row r="681" spans="24:24" x14ac:dyDescent="0.3">
      <c r="X681" s="23"/>
    </row>
    <row r="682" spans="24:24" x14ac:dyDescent="0.3">
      <c r="X682" s="23"/>
    </row>
    <row r="683" spans="24:24" x14ac:dyDescent="0.3">
      <c r="X683" s="23"/>
    </row>
    <row r="684" spans="24:24" x14ac:dyDescent="0.3">
      <c r="X684" s="23"/>
    </row>
    <row r="685" spans="24:24" x14ac:dyDescent="0.3">
      <c r="X685" s="23"/>
    </row>
    <row r="686" spans="24:24" x14ac:dyDescent="0.3">
      <c r="X686" s="23"/>
    </row>
    <row r="687" spans="24:24" x14ac:dyDescent="0.3">
      <c r="X687" s="23"/>
    </row>
    <row r="688" spans="24:24" x14ac:dyDescent="0.3">
      <c r="X688" s="23"/>
    </row>
    <row r="689" spans="24:24" x14ac:dyDescent="0.3">
      <c r="X689" s="23"/>
    </row>
    <row r="690" spans="24:24" x14ac:dyDescent="0.3">
      <c r="X690" s="23"/>
    </row>
    <row r="691" spans="24:24" x14ac:dyDescent="0.3">
      <c r="X691" s="23"/>
    </row>
    <row r="692" spans="24:24" x14ac:dyDescent="0.3">
      <c r="X692" s="23"/>
    </row>
    <row r="693" spans="24:24" x14ac:dyDescent="0.3">
      <c r="X693" s="23"/>
    </row>
    <row r="694" spans="24:24" x14ac:dyDescent="0.3">
      <c r="X694" s="23"/>
    </row>
    <row r="695" spans="24:24" x14ac:dyDescent="0.3">
      <c r="X695" s="23"/>
    </row>
    <row r="696" spans="24:24" x14ac:dyDescent="0.3">
      <c r="X696" s="23"/>
    </row>
    <row r="697" spans="24:24" x14ac:dyDescent="0.3">
      <c r="X697" s="23"/>
    </row>
    <row r="698" spans="24:24" x14ac:dyDescent="0.3">
      <c r="X698" s="23"/>
    </row>
    <row r="699" spans="24:24" x14ac:dyDescent="0.3">
      <c r="X699" s="23"/>
    </row>
    <row r="700" spans="24:24" x14ac:dyDescent="0.3">
      <c r="X700" s="23"/>
    </row>
    <row r="701" spans="24:24" x14ac:dyDescent="0.3">
      <c r="X701" s="23"/>
    </row>
    <row r="702" spans="24:24" x14ac:dyDescent="0.3">
      <c r="X702" s="23"/>
    </row>
    <row r="703" spans="24:24" x14ac:dyDescent="0.3">
      <c r="X703" s="23"/>
    </row>
    <row r="704" spans="24:24" x14ac:dyDescent="0.3">
      <c r="X704" s="23"/>
    </row>
    <row r="705" spans="24:24" x14ac:dyDescent="0.3">
      <c r="X705" s="23"/>
    </row>
    <row r="706" spans="24:24" x14ac:dyDescent="0.3">
      <c r="X706" s="23"/>
    </row>
    <row r="707" spans="24:24" x14ac:dyDescent="0.3">
      <c r="X707" s="23"/>
    </row>
    <row r="708" spans="24:24" x14ac:dyDescent="0.3">
      <c r="X708" s="23"/>
    </row>
    <row r="709" spans="24:24" x14ac:dyDescent="0.3">
      <c r="X709" s="23"/>
    </row>
    <row r="710" spans="24:24" x14ac:dyDescent="0.3">
      <c r="X710" s="23"/>
    </row>
    <row r="711" spans="24:24" x14ac:dyDescent="0.3">
      <c r="X711" s="23"/>
    </row>
    <row r="712" spans="24:24" x14ac:dyDescent="0.3">
      <c r="X712" s="23"/>
    </row>
    <row r="713" spans="24:24" x14ac:dyDescent="0.3">
      <c r="X713" s="23"/>
    </row>
    <row r="714" spans="24:24" x14ac:dyDescent="0.3">
      <c r="X714" s="23"/>
    </row>
    <row r="715" spans="24:24" x14ac:dyDescent="0.3">
      <c r="X715" s="23"/>
    </row>
    <row r="716" spans="24:24" x14ac:dyDescent="0.3">
      <c r="X716" s="23"/>
    </row>
    <row r="717" spans="24:24" x14ac:dyDescent="0.3">
      <c r="X717" s="23"/>
    </row>
    <row r="718" spans="24:24" x14ac:dyDescent="0.3">
      <c r="X718" s="23"/>
    </row>
    <row r="719" spans="24:24" x14ac:dyDescent="0.3">
      <c r="X719" s="23"/>
    </row>
    <row r="720" spans="24:24" x14ac:dyDescent="0.3">
      <c r="X720" s="23"/>
    </row>
    <row r="721" spans="24:24" x14ac:dyDescent="0.3">
      <c r="X721" s="23"/>
    </row>
    <row r="722" spans="24:24" x14ac:dyDescent="0.3">
      <c r="X722" s="23"/>
    </row>
    <row r="723" spans="24:24" x14ac:dyDescent="0.3">
      <c r="X723" s="23"/>
    </row>
    <row r="724" spans="24:24" x14ac:dyDescent="0.3">
      <c r="X724" s="23"/>
    </row>
    <row r="725" spans="24:24" x14ac:dyDescent="0.3">
      <c r="X725" s="23"/>
    </row>
    <row r="726" spans="24:24" x14ac:dyDescent="0.3">
      <c r="X726" s="23"/>
    </row>
    <row r="727" spans="24:24" x14ac:dyDescent="0.3">
      <c r="X727" s="23"/>
    </row>
    <row r="728" spans="24:24" x14ac:dyDescent="0.3">
      <c r="X728" s="23"/>
    </row>
    <row r="729" spans="24:24" x14ac:dyDescent="0.3">
      <c r="X729" s="23"/>
    </row>
    <row r="730" spans="24:24" x14ac:dyDescent="0.3">
      <c r="X730" s="23"/>
    </row>
    <row r="731" spans="24:24" x14ac:dyDescent="0.3">
      <c r="X731" s="23"/>
    </row>
    <row r="732" spans="24:24" x14ac:dyDescent="0.3">
      <c r="X732" s="23"/>
    </row>
    <row r="733" spans="24:24" x14ac:dyDescent="0.3">
      <c r="X733" s="23"/>
    </row>
    <row r="734" spans="24:24" x14ac:dyDescent="0.3">
      <c r="X734" s="23"/>
    </row>
    <row r="735" spans="24:24" x14ac:dyDescent="0.3">
      <c r="X735" s="23"/>
    </row>
    <row r="736" spans="24:24" x14ac:dyDescent="0.3">
      <c r="X736" s="23"/>
    </row>
    <row r="737" spans="24:24" x14ac:dyDescent="0.3">
      <c r="X737" s="23"/>
    </row>
    <row r="738" spans="24:24" x14ac:dyDescent="0.3">
      <c r="X738" s="23"/>
    </row>
    <row r="739" spans="24:24" x14ac:dyDescent="0.3">
      <c r="X739" s="23"/>
    </row>
    <row r="740" spans="24:24" x14ac:dyDescent="0.3">
      <c r="X740" s="23"/>
    </row>
    <row r="741" spans="24:24" x14ac:dyDescent="0.3">
      <c r="X741" s="23"/>
    </row>
    <row r="742" spans="24:24" x14ac:dyDescent="0.3">
      <c r="X742" s="23"/>
    </row>
    <row r="743" spans="24:24" x14ac:dyDescent="0.3">
      <c r="X743" s="23"/>
    </row>
    <row r="744" spans="24:24" x14ac:dyDescent="0.3">
      <c r="X744" s="23"/>
    </row>
    <row r="745" spans="24:24" x14ac:dyDescent="0.3">
      <c r="X745" s="23"/>
    </row>
    <row r="746" spans="24:24" x14ac:dyDescent="0.3">
      <c r="X746" s="23"/>
    </row>
    <row r="747" spans="24:24" x14ac:dyDescent="0.3">
      <c r="X747" s="23"/>
    </row>
    <row r="748" spans="24:24" x14ac:dyDescent="0.3">
      <c r="X748" s="23"/>
    </row>
    <row r="749" spans="24:24" x14ac:dyDescent="0.3">
      <c r="X749" s="23"/>
    </row>
    <row r="750" spans="24:24" x14ac:dyDescent="0.3">
      <c r="X750" s="23"/>
    </row>
    <row r="751" spans="24:24" x14ac:dyDescent="0.3">
      <c r="X751" s="23"/>
    </row>
    <row r="752" spans="24:24" x14ac:dyDescent="0.3">
      <c r="X752" s="23"/>
    </row>
    <row r="753" spans="24:24" x14ac:dyDescent="0.3">
      <c r="X753" s="23"/>
    </row>
    <row r="754" spans="24:24" x14ac:dyDescent="0.3">
      <c r="X754" s="23"/>
    </row>
    <row r="755" spans="24:24" x14ac:dyDescent="0.3">
      <c r="X755" s="23"/>
    </row>
    <row r="756" spans="24:24" x14ac:dyDescent="0.3">
      <c r="X756" s="23"/>
    </row>
    <row r="757" spans="24:24" x14ac:dyDescent="0.3">
      <c r="X757" s="23"/>
    </row>
    <row r="758" spans="24:24" x14ac:dyDescent="0.3">
      <c r="X758" s="23"/>
    </row>
    <row r="759" spans="24:24" x14ac:dyDescent="0.3">
      <c r="X759" s="23"/>
    </row>
    <row r="760" spans="24:24" x14ac:dyDescent="0.3">
      <c r="X760" s="23"/>
    </row>
    <row r="761" spans="24:24" x14ac:dyDescent="0.3">
      <c r="X761" s="23"/>
    </row>
    <row r="762" spans="24:24" x14ac:dyDescent="0.3">
      <c r="X762" s="23"/>
    </row>
    <row r="763" spans="24:24" x14ac:dyDescent="0.3">
      <c r="X763" s="23"/>
    </row>
    <row r="764" spans="24:24" x14ac:dyDescent="0.3">
      <c r="X764" s="23"/>
    </row>
    <row r="765" spans="24:24" x14ac:dyDescent="0.3">
      <c r="X765" s="23"/>
    </row>
    <row r="766" spans="24:24" x14ac:dyDescent="0.3">
      <c r="X766" s="23"/>
    </row>
    <row r="767" spans="24:24" x14ac:dyDescent="0.3">
      <c r="X767" s="23"/>
    </row>
    <row r="768" spans="24:24" x14ac:dyDescent="0.3">
      <c r="X768" s="23"/>
    </row>
    <row r="769" spans="24:24" x14ac:dyDescent="0.3">
      <c r="X769" s="23"/>
    </row>
    <row r="770" spans="24:24" x14ac:dyDescent="0.3">
      <c r="X770" s="23"/>
    </row>
    <row r="771" spans="24:24" x14ac:dyDescent="0.3">
      <c r="X771" s="23"/>
    </row>
    <row r="772" spans="24:24" x14ac:dyDescent="0.3">
      <c r="X772" s="23"/>
    </row>
    <row r="773" spans="24:24" x14ac:dyDescent="0.3">
      <c r="X773" s="23"/>
    </row>
    <row r="774" spans="24:24" x14ac:dyDescent="0.3">
      <c r="X774" s="23"/>
    </row>
    <row r="775" spans="24:24" x14ac:dyDescent="0.3">
      <c r="X775" s="23"/>
    </row>
    <row r="776" spans="24:24" x14ac:dyDescent="0.3">
      <c r="X776" s="23"/>
    </row>
    <row r="777" spans="24:24" x14ac:dyDescent="0.3">
      <c r="X777" s="23"/>
    </row>
    <row r="778" spans="24:24" x14ac:dyDescent="0.3">
      <c r="X778" s="23"/>
    </row>
    <row r="779" spans="24:24" x14ac:dyDescent="0.3">
      <c r="X779" s="23"/>
    </row>
    <row r="780" spans="24:24" x14ac:dyDescent="0.3">
      <c r="X780" s="23"/>
    </row>
    <row r="781" spans="24:24" x14ac:dyDescent="0.3">
      <c r="X781" s="23"/>
    </row>
    <row r="782" spans="24:24" x14ac:dyDescent="0.3">
      <c r="X782" s="23"/>
    </row>
    <row r="783" spans="24:24" x14ac:dyDescent="0.3">
      <c r="X783" s="23"/>
    </row>
    <row r="784" spans="24:24" x14ac:dyDescent="0.3">
      <c r="X784" s="23"/>
    </row>
    <row r="785" spans="24:24" x14ac:dyDescent="0.3">
      <c r="X785" s="23"/>
    </row>
    <row r="786" spans="24:24" x14ac:dyDescent="0.3">
      <c r="X786" s="23"/>
    </row>
    <row r="787" spans="24:24" x14ac:dyDescent="0.3">
      <c r="X787" s="23"/>
    </row>
    <row r="788" spans="24:24" x14ac:dyDescent="0.3">
      <c r="X788" s="23"/>
    </row>
    <row r="789" spans="24:24" x14ac:dyDescent="0.3">
      <c r="X789" s="23"/>
    </row>
    <row r="790" spans="24:24" x14ac:dyDescent="0.3">
      <c r="X790" s="23"/>
    </row>
    <row r="791" spans="24:24" x14ac:dyDescent="0.3">
      <c r="X791" s="23"/>
    </row>
    <row r="792" spans="24:24" x14ac:dyDescent="0.3">
      <c r="X792" s="23"/>
    </row>
    <row r="793" spans="24:24" x14ac:dyDescent="0.3">
      <c r="X793" s="23"/>
    </row>
    <row r="794" spans="24:24" x14ac:dyDescent="0.3">
      <c r="X794" s="23"/>
    </row>
    <row r="795" spans="24:24" x14ac:dyDescent="0.3">
      <c r="X795" s="23"/>
    </row>
    <row r="796" spans="24:24" x14ac:dyDescent="0.3">
      <c r="X796" s="23"/>
    </row>
    <row r="797" spans="24:24" x14ac:dyDescent="0.3">
      <c r="X797" s="23"/>
    </row>
    <row r="798" spans="24:24" x14ac:dyDescent="0.3">
      <c r="X798" s="23"/>
    </row>
    <row r="799" spans="24:24" x14ac:dyDescent="0.3">
      <c r="X799" s="23"/>
    </row>
    <row r="800" spans="24:24" x14ac:dyDescent="0.3">
      <c r="X800" s="23"/>
    </row>
    <row r="801" spans="24:24" x14ac:dyDescent="0.3">
      <c r="X801" s="23"/>
    </row>
    <row r="802" spans="24:24" x14ac:dyDescent="0.3">
      <c r="X802" s="23"/>
    </row>
    <row r="803" spans="24:24" x14ac:dyDescent="0.3">
      <c r="X803" s="23"/>
    </row>
    <row r="804" spans="24:24" x14ac:dyDescent="0.3">
      <c r="X804" s="23"/>
    </row>
    <row r="805" spans="24:24" x14ac:dyDescent="0.3">
      <c r="X805" s="23"/>
    </row>
    <row r="806" spans="24:24" x14ac:dyDescent="0.3">
      <c r="X806" s="23"/>
    </row>
    <row r="807" spans="24:24" x14ac:dyDescent="0.3">
      <c r="X807" s="23"/>
    </row>
    <row r="808" spans="24:24" x14ac:dyDescent="0.3">
      <c r="X808" s="23"/>
    </row>
    <row r="809" spans="24:24" x14ac:dyDescent="0.3">
      <c r="X809" s="23"/>
    </row>
    <row r="810" spans="24:24" x14ac:dyDescent="0.3">
      <c r="X810" s="23"/>
    </row>
    <row r="811" spans="24:24" x14ac:dyDescent="0.3">
      <c r="X811" s="23"/>
    </row>
    <row r="812" spans="24:24" x14ac:dyDescent="0.3">
      <c r="X812" s="23"/>
    </row>
    <row r="813" spans="24:24" x14ac:dyDescent="0.3">
      <c r="X813" s="23"/>
    </row>
    <row r="814" spans="24:24" x14ac:dyDescent="0.3">
      <c r="X814" s="23"/>
    </row>
    <row r="815" spans="24:24" x14ac:dyDescent="0.3">
      <c r="X815" s="23"/>
    </row>
    <row r="816" spans="24:24" x14ac:dyDescent="0.3">
      <c r="X816" s="23"/>
    </row>
    <row r="817" spans="24:24" x14ac:dyDescent="0.3">
      <c r="X817" s="23"/>
    </row>
    <row r="818" spans="24:24" x14ac:dyDescent="0.3">
      <c r="X818" s="23"/>
    </row>
    <row r="819" spans="24:24" x14ac:dyDescent="0.3">
      <c r="X819" s="23"/>
    </row>
    <row r="820" spans="24:24" x14ac:dyDescent="0.3">
      <c r="X820" s="23"/>
    </row>
    <row r="821" spans="24:24" x14ac:dyDescent="0.3">
      <c r="X821" s="23"/>
    </row>
    <row r="822" spans="24:24" x14ac:dyDescent="0.3">
      <c r="X822" s="23"/>
    </row>
    <row r="823" spans="24:24" x14ac:dyDescent="0.3">
      <c r="X823" s="23"/>
    </row>
    <row r="824" spans="24:24" x14ac:dyDescent="0.3">
      <c r="X824" s="23"/>
    </row>
    <row r="825" spans="24:24" x14ac:dyDescent="0.3">
      <c r="X825" s="23"/>
    </row>
    <row r="826" spans="24:24" x14ac:dyDescent="0.3">
      <c r="X826" s="23"/>
    </row>
    <row r="827" spans="24:24" x14ac:dyDescent="0.3">
      <c r="X827" s="23"/>
    </row>
    <row r="828" spans="24:24" x14ac:dyDescent="0.3">
      <c r="X828" s="23"/>
    </row>
    <row r="829" spans="24:24" x14ac:dyDescent="0.3">
      <c r="X829" s="23"/>
    </row>
    <row r="830" spans="24:24" x14ac:dyDescent="0.3">
      <c r="X830" s="23"/>
    </row>
    <row r="831" spans="24:24" x14ac:dyDescent="0.3">
      <c r="X831" s="23"/>
    </row>
    <row r="832" spans="24:24" x14ac:dyDescent="0.3">
      <c r="X832" s="23"/>
    </row>
    <row r="833" spans="24:24" x14ac:dyDescent="0.3">
      <c r="X833" s="23"/>
    </row>
    <row r="834" spans="24:24" x14ac:dyDescent="0.3">
      <c r="X834" s="23"/>
    </row>
    <row r="835" spans="24:24" x14ac:dyDescent="0.3">
      <c r="X835" s="23"/>
    </row>
    <row r="836" spans="24:24" x14ac:dyDescent="0.3">
      <c r="X836" s="23"/>
    </row>
    <row r="837" spans="24:24" x14ac:dyDescent="0.3">
      <c r="X837" s="23"/>
    </row>
    <row r="838" spans="24:24" x14ac:dyDescent="0.3">
      <c r="X838" s="23"/>
    </row>
    <row r="839" spans="24:24" x14ac:dyDescent="0.3">
      <c r="X839" s="23"/>
    </row>
    <row r="840" spans="24:24" x14ac:dyDescent="0.3">
      <c r="X840" s="23"/>
    </row>
    <row r="841" spans="24:24" x14ac:dyDescent="0.3">
      <c r="X841" s="23"/>
    </row>
    <row r="842" spans="24:24" x14ac:dyDescent="0.3">
      <c r="X842" s="23"/>
    </row>
    <row r="843" spans="24:24" x14ac:dyDescent="0.3">
      <c r="X843" s="23"/>
    </row>
    <row r="844" spans="24:24" x14ac:dyDescent="0.3">
      <c r="X844" s="23"/>
    </row>
    <row r="845" spans="24:24" x14ac:dyDescent="0.3">
      <c r="X845" s="23"/>
    </row>
    <row r="846" spans="24:24" x14ac:dyDescent="0.3">
      <c r="X846" s="23"/>
    </row>
    <row r="847" spans="24:24" x14ac:dyDescent="0.3">
      <c r="X847" s="23"/>
    </row>
    <row r="848" spans="24:24" x14ac:dyDescent="0.3">
      <c r="X848" s="23"/>
    </row>
    <row r="849" spans="24:24" x14ac:dyDescent="0.3">
      <c r="X849" s="23"/>
    </row>
    <row r="850" spans="24:24" x14ac:dyDescent="0.3">
      <c r="X850" s="23"/>
    </row>
    <row r="851" spans="24:24" x14ac:dyDescent="0.3">
      <c r="X851" s="23"/>
    </row>
    <row r="852" spans="24:24" x14ac:dyDescent="0.3">
      <c r="X852" s="23"/>
    </row>
    <row r="853" spans="24:24" x14ac:dyDescent="0.3">
      <c r="X853" s="23"/>
    </row>
    <row r="854" spans="24:24" x14ac:dyDescent="0.3">
      <c r="X854" s="23"/>
    </row>
    <row r="855" spans="24:24" x14ac:dyDescent="0.3">
      <c r="X855" s="23"/>
    </row>
    <row r="856" spans="24:24" x14ac:dyDescent="0.3">
      <c r="X856" s="23"/>
    </row>
    <row r="857" spans="24:24" x14ac:dyDescent="0.3">
      <c r="X857" s="23"/>
    </row>
    <row r="858" spans="24:24" x14ac:dyDescent="0.3">
      <c r="X858" s="23"/>
    </row>
    <row r="859" spans="24:24" x14ac:dyDescent="0.3">
      <c r="X859" s="23"/>
    </row>
    <row r="860" spans="24:24" x14ac:dyDescent="0.3">
      <c r="X860" s="23"/>
    </row>
    <row r="861" spans="24:24" x14ac:dyDescent="0.3">
      <c r="X861" s="23"/>
    </row>
    <row r="862" spans="24:24" x14ac:dyDescent="0.3">
      <c r="X862" s="23"/>
    </row>
    <row r="863" spans="24:24" x14ac:dyDescent="0.3">
      <c r="X863" s="23"/>
    </row>
    <row r="864" spans="24:24" x14ac:dyDescent="0.3">
      <c r="X864" s="23"/>
    </row>
    <row r="865" spans="24:24" x14ac:dyDescent="0.3">
      <c r="X865" s="23"/>
    </row>
    <row r="866" spans="24:24" x14ac:dyDescent="0.3">
      <c r="X866" s="23"/>
    </row>
    <row r="867" spans="24:24" x14ac:dyDescent="0.3">
      <c r="X867" s="23"/>
    </row>
    <row r="868" spans="24:24" x14ac:dyDescent="0.3">
      <c r="X868" s="23"/>
    </row>
    <row r="869" spans="24:24" x14ac:dyDescent="0.3">
      <c r="X869" s="23"/>
    </row>
    <row r="870" spans="24:24" x14ac:dyDescent="0.3">
      <c r="X870" s="23"/>
    </row>
    <row r="871" spans="24:24" x14ac:dyDescent="0.3">
      <c r="X871" s="23"/>
    </row>
    <row r="872" spans="24:24" x14ac:dyDescent="0.3">
      <c r="X872" s="23"/>
    </row>
    <row r="873" spans="24:24" x14ac:dyDescent="0.3">
      <c r="X873" s="23"/>
    </row>
    <row r="874" spans="24:24" x14ac:dyDescent="0.3">
      <c r="X874" s="23"/>
    </row>
    <row r="875" spans="24:24" x14ac:dyDescent="0.3">
      <c r="X875" s="23"/>
    </row>
    <row r="876" spans="24:24" x14ac:dyDescent="0.3">
      <c r="X876" s="23"/>
    </row>
    <row r="877" spans="24:24" x14ac:dyDescent="0.3">
      <c r="X877" s="23"/>
    </row>
    <row r="878" spans="24:24" x14ac:dyDescent="0.3">
      <c r="X878" s="23"/>
    </row>
    <row r="879" spans="24:24" x14ac:dyDescent="0.3">
      <c r="X879" s="23"/>
    </row>
    <row r="880" spans="24:24" x14ac:dyDescent="0.3">
      <c r="X880" s="23"/>
    </row>
    <row r="881" spans="24:24" x14ac:dyDescent="0.3">
      <c r="X881" s="23"/>
    </row>
    <row r="882" spans="24:24" x14ac:dyDescent="0.3">
      <c r="X882" s="23"/>
    </row>
    <row r="883" spans="24:24" x14ac:dyDescent="0.3">
      <c r="X883" s="23"/>
    </row>
    <row r="884" spans="24:24" x14ac:dyDescent="0.3">
      <c r="X884" s="23"/>
    </row>
    <row r="885" spans="24:24" x14ac:dyDescent="0.3">
      <c r="X885" s="23"/>
    </row>
    <row r="886" spans="24:24" x14ac:dyDescent="0.3">
      <c r="X886" s="23"/>
    </row>
    <row r="887" spans="24:24" x14ac:dyDescent="0.3">
      <c r="X887" s="23"/>
    </row>
    <row r="888" spans="24:24" x14ac:dyDescent="0.3">
      <c r="X888" s="23"/>
    </row>
    <row r="889" spans="24:24" x14ac:dyDescent="0.3">
      <c r="X889" s="23"/>
    </row>
    <row r="890" spans="24:24" x14ac:dyDescent="0.3">
      <c r="X890" s="23"/>
    </row>
    <row r="891" spans="24:24" x14ac:dyDescent="0.3">
      <c r="X891" s="23"/>
    </row>
    <row r="892" spans="24:24" x14ac:dyDescent="0.3">
      <c r="X892" s="23"/>
    </row>
    <row r="893" spans="24:24" x14ac:dyDescent="0.3">
      <c r="X893" s="23"/>
    </row>
    <row r="894" spans="24:24" x14ac:dyDescent="0.3">
      <c r="X894" s="23"/>
    </row>
    <row r="895" spans="24:24" x14ac:dyDescent="0.3">
      <c r="X895" s="23"/>
    </row>
    <row r="896" spans="24:24" x14ac:dyDescent="0.3">
      <c r="X896" s="23"/>
    </row>
    <row r="897" spans="24:24" x14ac:dyDescent="0.3">
      <c r="X897" s="23"/>
    </row>
    <row r="898" spans="24:24" x14ac:dyDescent="0.3">
      <c r="X898" s="23"/>
    </row>
    <row r="899" spans="24:24" x14ac:dyDescent="0.3">
      <c r="X899" s="23"/>
    </row>
    <row r="900" spans="24:24" x14ac:dyDescent="0.3">
      <c r="X900" s="23"/>
    </row>
    <row r="901" spans="24:24" x14ac:dyDescent="0.3">
      <c r="X901" s="23"/>
    </row>
    <row r="902" spans="24:24" x14ac:dyDescent="0.3">
      <c r="X902" s="23"/>
    </row>
    <row r="903" spans="24:24" x14ac:dyDescent="0.3">
      <c r="X903" s="23"/>
    </row>
    <row r="904" spans="24:24" x14ac:dyDescent="0.3">
      <c r="X904" s="23"/>
    </row>
    <row r="905" spans="24:24" x14ac:dyDescent="0.3">
      <c r="X905" s="23"/>
    </row>
    <row r="906" spans="24:24" x14ac:dyDescent="0.3">
      <c r="X906" s="23"/>
    </row>
    <row r="907" spans="24:24" x14ac:dyDescent="0.3">
      <c r="X907" s="23"/>
    </row>
    <row r="908" spans="24:24" x14ac:dyDescent="0.3">
      <c r="X908" s="23"/>
    </row>
    <row r="909" spans="24:24" x14ac:dyDescent="0.3">
      <c r="X909" s="23"/>
    </row>
    <row r="910" spans="24:24" x14ac:dyDescent="0.3">
      <c r="X910" s="23"/>
    </row>
    <row r="911" spans="24:24" x14ac:dyDescent="0.3">
      <c r="X911" s="23"/>
    </row>
    <row r="912" spans="24:24" x14ac:dyDescent="0.3">
      <c r="X912" s="23"/>
    </row>
    <row r="913" spans="24:24" x14ac:dyDescent="0.3">
      <c r="X913" s="23"/>
    </row>
    <row r="914" spans="24:24" x14ac:dyDescent="0.3">
      <c r="X914" s="23"/>
    </row>
    <row r="915" spans="24:24" x14ac:dyDescent="0.3">
      <c r="X915" s="23"/>
    </row>
    <row r="916" spans="24:24" x14ac:dyDescent="0.3">
      <c r="X916" s="23"/>
    </row>
    <row r="917" spans="24:24" x14ac:dyDescent="0.3">
      <c r="X917" s="23"/>
    </row>
    <row r="918" spans="24:24" x14ac:dyDescent="0.3">
      <c r="X918" s="23"/>
    </row>
    <row r="919" spans="24:24" x14ac:dyDescent="0.3">
      <c r="X919" s="23"/>
    </row>
    <row r="920" spans="24:24" x14ac:dyDescent="0.3">
      <c r="X920" s="23"/>
    </row>
    <row r="921" spans="24:24" x14ac:dyDescent="0.3">
      <c r="X921" s="23"/>
    </row>
    <row r="922" spans="24:24" x14ac:dyDescent="0.3">
      <c r="X922" s="23"/>
    </row>
    <row r="923" spans="24:24" x14ac:dyDescent="0.3">
      <c r="X923" s="23"/>
    </row>
    <row r="924" spans="24:24" x14ac:dyDescent="0.3">
      <c r="X924" s="23"/>
    </row>
    <row r="925" spans="24:24" x14ac:dyDescent="0.3">
      <c r="X925" s="23"/>
    </row>
    <row r="926" spans="24:24" x14ac:dyDescent="0.3">
      <c r="X926" s="23"/>
    </row>
    <row r="927" spans="24:24" x14ac:dyDescent="0.3">
      <c r="X927" s="23"/>
    </row>
    <row r="928" spans="24:24" x14ac:dyDescent="0.3">
      <c r="X928" s="23"/>
    </row>
    <row r="929" spans="24:24" x14ac:dyDescent="0.3">
      <c r="X929" s="23"/>
    </row>
    <row r="930" spans="24:24" x14ac:dyDescent="0.3">
      <c r="X930" s="23"/>
    </row>
    <row r="931" spans="24:24" x14ac:dyDescent="0.3">
      <c r="X931" s="23"/>
    </row>
    <row r="932" spans="24:24" x14ac:dyDescent="0.3">
      <c r="X932" s="23"/>
    </row>
    <row r="933" spans="24:24" x14ac:dyDescent="0.3">
      <c r="X933" s="23"/>
    </row>
    <row r="934" spans="24:24" x14ac:dyDescent="0.3">
      <c r="X934" s="23"/>
    </row>
    <row r="935" spans="24:24" x14ac:dyDescent="0.3">
      <c r="X935" s="23"/>
    </row>
    <row r="936" spans="24:24" x14ac:dyDescent="0.3">
      <c r="X936" s="23"/>
    </row>
    <row r="937" spans="24:24" x14ac:dyDescent="0.3">
      <c r="X937" s="23"/>
    </row>
    <row r="938" spans="24:24" x14ac:dyDescent="0.3">
      <c r="X938" s="23"/>
    </row>
    <row r="939" spans="24:24" x14ac:dyDescent="0.3">
      <c r="X939" s="23"/>
    </row>
    <row r="940" spans="24:24" x14ac:dyDescent="0.3">
      <c r="X940" s="23"/>
    </row>
    <row r="941" spans="24:24" x14ac:dyDescent="0.3">
      <c r="X941" s="23"/>
    </row>
    <row r="942" spans="24:24" x14ac:dyDescent="0.3">
      <c r="X942" s="23"/>
    </row>
    <row r="943" spans="24:24" x14ac:dyDescent="0.3">
      <c r="X943" s="23"/>
    </row>
    <row r="944" spans="24:24" x14ac:dyDescent="0.3">
      <c r="X944" s="23"/>
    </row>
    <row r="945" spans="24:24" x14ac:dyDescent="0.3">
      <c r="X945" s="23"/>
    </row>
    <row r="946" spans="24:24" x14ac:dyDescent="0.3">
      <c r="X946" s="23"/>
    </row>
    <row r="947" spans="24:24" x14ac:dyDescent="0.3">
      <c r="X947" s="23"/>
    </row>
    <row r="948" spans="24:24" x14ac:dyDescent="0.3">
      <c r="X948" s="23"/>
    </row>
    <row r="949" spans="24:24" x14ac:dyDescent="0.3">
      <c r="X949" s="23"/>
    </row>
    <row r="950" spans="24:24" x14ac:dyDescent="0.3">
      <c r="X950" s="23"/>
    </row>
    <row r="951" spans="24:24" x14ac:dyDescent="0.3">
      <c r="X951" s="23"/>
    </row>
    <row r="952" spans="24:24" x14ac:dyDescent="0.3">
      <c r="X952" s="23"/>
    </row>
    <row r="953" spans="24:24" x14ac:dyDescent="0.3">
      <c r="X953" s="23"/>
    </row>
    <row r="954" spans="24:24" x14ac:dyDescent="0.3">
      <c r="X954" s="23"/>
    </row>
    <row r="955" spans="24:24" x14ac:dyDescent="0.3">
      <c r="X955" s="23"/>
    </row>
    <row r="956" spans="24:24" x14ac:dyDescent="0.3">
      <c r="X956" s="23"/>
    </row>
    <row r="957" spans="24:24" x14ac:dyDescent="0.3">
      <c r="X957" s="23"/>
    </row>
    <row r="958" spans="24:24" x14ac:dyDescent="0.3">
      <c r="X958" s="23"/>
    </row>
    <row r="959" spans="24:24" x14ac:dyDescent="0.3">
      <c r="X959" s="23"/>
    </row>
    <row r="960" spans="24:24" x14ac:dyDescent="0.3">
      <c r="X960" s="23"/>
    </row>
    <row r="961" spans="24:24" x14ac:dyDescent="0.3">
      <c r="X961" s="23"/>
    </row>
    <row r="962" spans="24:24" x14ac:dyDescent="0.3">
      <c r="X962" s="23"/>
    </row>
    <row r="963" spans="24:24" x14ac:dyDescent="0.3">
      <c r="X963" s="23"/>
    </row>
    <row r="964" spans="24:24" x14ac:dyDescent="0.3">
      <c r="X964" s="23"/>
    </row>
    <row r="965" spans="24:24" x14ac:dyDescent="0.3">
      <c r="X965" s="23"/>
    </row>
    <row r="966" spans="24:24" x14ac:dyDescent="0.3">
      <c r="X966" s="23"/>
    </row>
    <row r="967" spans="24:24" x14ac:dyDescent="0.3">
      <c r="X967" s="23"/>
    </row>
    <row r="968" spans="24:24" x14ac:dyDescent="0.3">
      <c r="X968" s="23"/>
    </row>
    <row r="969" spans="24:24" x14ac:dyDescent="0.3">
      <c r="X969" s="23"/>
    </row>
    <row r="970" spans="24:24" x14ac:dyDescent="0.3">
      <c r="X970" s="23"/>
    </row>
    <row r="971" spans="24:24" x14ac:dyDescent="0.3">
      <c r="X971" s="23"/>
    </row>
    <row r="972" spans="24:24" x14ac:dyDescent="0.3">
      <c r="X972" s="23"/>
    </row>
    <row r="973" spans="24:24" x14ac:dyDescent="0.3">
      <c r="X973" s="23"/>
    </row>
    <row r="974" spans="24:24" x14ac:dyDescent="0.3">
      <c r="X974" s="23"/>
    </row>
    <row r="975" spans="24:24" x14ac:dyDescent="0.3">
      <c r="X975" s="23"/>
    </row>
    <row r="976" spans="24:24" x14ac:dyDescent="0.3">
      <c r="X976" s="23"/>
    </row>
    <row r="977" spans="24:24" x14ac:dyDescent="0.3">
      <c r="X977" s="23"/>
    </row>
    <row r="978" spans="24:24" x14ac:dyDescent="0.3">
      <c r="X978" s="23"/>
    </row>
    <row r="979" spans="24:24" x14ac:dyDescent="0.3">
      <c r="X979" s="23"/>
    </row>
    <row r="980" spans="24:24" x14ac:dyDescent="0.3">
      <c r="X980" s="23"/>
    </row>
    <row r="981" spans="24:24" x14ac:dyDescent="0.3">
      <c r="X981" s="23"/>
    </row>
    <row r="982" spans="24:24" x14ac:dyDescent="0.3">
      <c r="X982" s="23"/>
    </row>
    <row r="983" spans="24:24" x14ac:dyDescent="0.3">
      <c r="X983" s="23"/>
    </row>
    <row r="984" spans="24:24" x14ac:dyDescent="0.3">
      <c r="X984" s="23"/>
    </row>
    <row r="985" spans="24:24" x14ac:dyDescent="0.3">
      <c r="X985" s="23"/>
    </row>
    <row r="986" spans="24:24" x14ac:dyDescent="0.3">
      <c r="X986" s="23"/>
    </row>
    <row r="987" spans="24:24" x14ac:dyDescent="0.3">
      <c r="X987" s="23"/>
    </row>
    <row r="988" spans="24:24" x14ac:dyDescent="0.3">
      <c r="X988" s="23"/>
    </row>
    <row r="989" spans="24:24" x14ac:dyDescent="0.3">
      <c r="X989" s="23"/>
    </row>
    <row r="990" spans="24:24" x14ac:dyDescent="0.3">
      <c r="X990" s="23"/>
    </row>
    <row r="991" spans="24:24" x14ac:dyDescent="0.3">
      <c r="X991" s="23"/>
    </row>
    <row r="992" spans="24:24" x14ac:dyDescent="0.3">
      <c r="X992" s="23"/>
    </row>
    <row r="993" spans="24:24" x14ac:dyDescent="0.3">
      <c r="X993" s="23"/>
    </row>
    <row r="994" spans="24:24" x14ac:dyDescent="0.3">
      <c r="X994" s="23"/>
    </row>
    <row r="995" spans="24:24" x14ac:dyDescent="0.3">
      <c r="X995" s="23"/>
    </row>
    <row r="996" spans="24:24" x14ac:dyDescent="0.3">
      <c r="X996" s="23"/>
    </row>
    <row r="997" spans="24:24" x14ac:dyDescent="0.3">
      <c r="X997" s="23"/>
    </row>
    <row r="998" spans="24:24" x14ac:dyDescent="0.3">
      <c r="X998" s="23"/>
    </row>
    <row r="999" spans="24:24" x14ac:dyDescent="0.3">
      <c r="X999" s="23"/>
    </row>
  </sheetData>
  <pageMargins left="0.7" right="0.7" top="0.75" bottom="0.75" header="0.511811023622047" footer="0.511811023622047"/>
  <pageSetup paperSize="9" orientation="portrait" horizontalDpi="300" verticalDpi="30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12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8.6640625" defaultRowHeight="14.4" x14ac:dyDescent="0.3"/>
  <cols>
    <col min="1" max="6" width="27.44140625" customWidth="1"/>
  </cols>
  <sheetData>
    <row r="1" spans="1:6" x14ac:dyDescent="0.3">
      <c r="A1" s="28" t="s">
        <v>130</v>
      </c>
      <c r="B1" s="28" t="s">
        <v>180</v>
      </c>
      <c r="C1" s="28" t="s">
        <v>131</v>
      </c>
      <c r="D1" s="28" t="s">
        <v>67</v>
      </c>
      <c r="E1" s="28" t="s">
        <v>132</v>
      </c>
      <c r="F1" s="28" t="s">
        <v>20</v>
      </c>
    </row>
    <row r="2" spans="1:6" x14ac:dyDescent="0.3">
      <c r="A2" s="29" t="s">
        <v>133</v>
      </c>
      <c r="B2" s="29" t="s">
        <v>40</v>
      </c>
      <c r="C2" s="29" t="s">
        <v>33</v>
      </c>
      <c r="D2" s="29" t="s">
        <v>119</v>
      </c>
      <c r="E2" s="29" t="s">
        <v>47</v>
      </c>
      <c r="F2" s="29" t="s">
        <v>134</v>
      </c>
    </row>
    <row r="3" spans="1:6" x14ac:dyDescent="0.3">
      <c r="A3" s="29" t="s">
        <v>124</v>
      </c>
      <c r="B3" s="29" t="s">
        <v>48</v>
      </c>
      <c r="C3" s="29" t="s">
        <v>125</v>
      </c>
      <c r="D3" s="29" t="s">
        <v>120</v>
      </c>
      <c r="E3" s="29" t="s">
        <v>27</v>
      </c>
      <c r="F3" s="29" t="s">
        <v>29</v>
      </c>
    </row>
    <row r="4" spans="1:6" x14ac:dyDescent="0.3">
      <c r="A4" s="29" t="s">
        <v>32</v>
      </c>
      <c r="B4" s="29" t="s">
        <v>28</v>
      </c>
      <c r="C4" s="29" t="s">
        <v>26</v>
      </c>
      <c r="D4" s="29" t="s">
        <v>135</v>
      </c>
      <c r="E4" s="29" t="s">
        <v>39</v>
      </c>
      <c r="F4" s="29" t="s">
        <v>34</v>
      </c>
    </row>
    <row r="5" spans="1:6" x14ac:dyDescent="0.3">
      <c r="A5" s="29" t="s">
        <v>136</v>
      </c>
      <c r="B5" s="29" t="s">
        <v>49</v>
      </c>
      <c r="C5" s="29" t="s">
        <v>137</v>
      </c>
      <c r="D5" s="29" t="s">
        <v>138</v>
      </c>
      <c r="E5" s="29"/>
      <c r="F5" s="29" t="s">
        <v>139</v>
      </c>
    </row>
    <row r="6" spans="1:6" x14ac:dyDescent="0.3">
      <c r="A6" s="29" t="s">
        <v>25</v>
      </c>
      <c r="B6" s="29" t="s">
        <v>50</v>
      </c>
      <c r="C6" s="29" t="s">
        <v>140</v>
      </c>
      <c r="D6" s="29"/>
      <c r="E6" s="29"/>
      <c r="F6" s="29" t="s">
        <v>118</v>
      </c>
    </row>
    <row r="7" spans="1:6" x14ac:dyDescent="0.3">
      <c r="A7" s="29" t="s">
        <v>141</v>
      </c>
      <c r="B7" s="29" t="s">
        <v>51</v>
      </c>
      <c r="C7" s="29"/>
      <c r="D7" s="29"/>
      <c r="E7" s="29"/>
      <c r="F7" s="29"/>
    </row>
    <row r="8" spans="1:6" x14ac:dyDescent="0.3">
      <c r="A8" s="29" t="s">
        <v>142</v>
      </c>
      <c r="B8" s="29" t="s">
        <v>52</v>
      </c>
      <c r="C8" s="29"/>
      <c r="D8" s="29"/>
      <c r="E8" s="29"/>
      <c r="F8" s="29"/>
    </row>
    <row r="9" spans="1:6" x14ac:dyDescent="0.3">
      <c r="A9" s="29" t="s">
        <v>143</v>
      </c>
      <c r="B9" s="29" t="s">
        <v>53</v>
      </c>
      <c r="C9" s="29"/>
      <c r="D9" s="29"/>
      <c r="E9" s="29"/>
      <c r="F9" s="29"/>
    </row>
    <row r="10" spans="1:6" x14ac:dyDescent="0.3">
      <c r="A10" s="29" t="s">
        <v>144</v>
      </c>
      <c r="B10" s="29"/>
      <c r="C10" s="29"/>
      <c r="D10" s="29"/>
      <c r="E10" s="29"/>
      <c r="F10" s="29"/>
    </row>
    <row r="11" spans="1:6" x14ac:dyDescent="0.3">
      <c r="A11" s="29" t="s">
        <v>50</v>
      </c>
      <c r="B11" s="29"/>
      <c r="C11" s="29"/>
      <c r="D11" s="29"/>
      <c r="E11" s="29"/>
      <c r="F11" s="29"/>
    </row>
    <row r="12" spans="1:6" x14ac:dyDescent="0.3">
      <c r="A12" s="29" t="s">
        <v>145</v>
      </c>
      <c r="B12" s="29"/>
      <c r="C12" s="29"/>
      <c r="D12" s="29"/>
      <c r="E12" s="29"/>
      <c r="F12" s="29"/>
    </row>
  </sheetData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V12"/>
  <sheetViews>
    <sheetView zoomScaleNormal="100" workbookViewId="0"/>
  </sheetViews>
  <sheetFormatPr defaultColWidth="8.6640625" defaultRowHeight="14.4" x14ac:dyDescent="0.3"/>
  <cols>
    <col min="1" max="1" width="18.21875" customWidth="1"/>
    <col min="2" max="2" width="7" customWidth="1"/>
    <col min="3" max="3" width="6" customWidth="1"/>
    <col min="4" max="4" width="8.77734375" customWidth="1"/>
    <col min="5" max="5" width="7" customWidth="1"/>
    <col min="6" max="6" width="5.88671875" customWidth="1"/>
    <col min="7" max="7" width="6.33203125" customWidth="1"/>
    <col min="8" max="8" width="6" customWidth="1"/>
    <col min="9" max="9" width="5.6640625" customWidth="1"/>
    <col min="10" max="10" width="4.77734375" customWidth="1"/>
    <col min="11" max="11" width="7.33203125" customWidth="1"/>
    <col min="12" max="12" width="8.77734375" customWidth="1"/>
    <col min="13" max="13" width="5.77734375" customWidth="1"/>
    <col min="14" max="14" width="5.5546875" customWidth="1"/>
    <col min="15" max="15" width="7.33203125" customWidth="1"/>
    <col min="16" max="21" width="9" customWidth="1"/>
    <col min="22" max="22" width="86.88671875" customWidth="1"/>
  </cols>
  <sheetData>
    <row r="1" spans="1:22" ht="28.8" x14ac:dyDescent="0.3">
      <c r="A1" s="28" t="s">
        <v>13</v>
      </c>
      <c r="B1" s="28" t="s">
        <v>78</v>
      </c>
      <c r="C1" s="28" t="s">
        <v>79</v>
      </c>
      <c r="D1" s="28" t="s">
        <v>80</v>
      </c>
      <c r="E1" s="28" t="s">
        <v>81</v>
      </c>
      <c r="F1" s="28" t="s">
        <v>82</v>
      </c>
      <c r="G1" s="28" t="s">
        <v>83</v>
      </c>
      <c r="H1" s="28" t="s">
        <v>84</v>
      </c>
      <c r="I1" s="28" t="s">
        <v>85</v>
      </c>
      <c r="J1" s="28" t="s">
        <v>86</v>
      </c>
      <c r="K1" s="28" t="s">
        <v>87</v>
      </c>
      <c r="L1" s="28" t="s">
        <v>88</v>
      </c>
      <c r="M1" s="28" t="s">
        <v>89</v>
      </c>
      <c r="N1" s="28" t="s">
        <v>90</v>
      </c>
      <c r="O1" s="28" t="s">
        <v>91</v>
      </c>
      <c r="P1" s="28" t="s">
        <v>92</v>
      </c>
      <c r="Q1" s="28" t="s">
        <v>93</v>
      </c>
      <c r="R1" s="28" t="s">
        <v>94</v>
      </c>
      <c r="S1" s="28" t="s">
        <v>95</v>
      </c>
      <c r="T1" s="28" t="s">
        <v>96</v>
      </c>
      <c r="U1" s="28" t="s">
        <v>97</v>
      </c>
      <c r="V1" s="28" t="s">
        <v>98</v>
      </c>
    </row>
    <row r="2" spans="1:22" x14ac:dyDescent="0.3">
      <c r="A2" s="30" t="s">
        <v>133</v>
      </c>
      <c r="B2" s="31" t="s">
        <v>146</v>
      </c>
      <c r="C2" s="31" t="s">
        <v>146</v>
      </c>
      <c r="D2" s="31" t="s">
        <v>146</v>
      </c>
      <c r="E2" s="31" t="s">
        <v>146</v>
      </c>
      <c r="F2" s="31" t="s">
        <v>146</v>
      </c>
      <c r="G2" s="31" t="s">
        <v>146</v>
      </c>
      <c r="H2" s="31" t="s">
        <v>146</v>
      </c>
      <c r="I2" s="31" t="s">
        <v>146</v>
      </c>
      <c r="J2" s="31"/>
      <c r="K2" s="31"/>
      <c r="L2" s="31"/>
      <c r="M2" s="31"/>
      <c r="N2" s="31"/>
      <c r="O2" s="31"/>
      <c r="P2" s="32"/>
      <c r="Q2" s="32"/>
      <c r="R2" s="32"/>
      <c r="S2" s="32"/>
      <c r="T2" s="32"/>
      <c r="U2" s="32"/>
      <c r="V2" s="31"/>
    </row>
    <row r="3" spans="1:22" x14ac:dyDescent="0.3">
      <c r="A3" s="30" t="s">
        <v>124</v>
      </c>
      <c r="B3" s="31" t="s">
        <v>146</v>
      </c>
      <c r="C3" s="31" t="s">
        <v>146</v>
      </c>
      <c r="D3" s="31" t="s">
        <v>146</v>
      </c>
      <c r="E3" s="31" t="s">
        <v>146</v>
      </c>
      <c r="F3" s="31" t="s">
        <v>146</v>
      </c>
      <c r="G3" s="31" t="s">
        <v>146</v>
      </c>
      <c r="H3" s="31" t="s">
        <v>146</v>
      </c>
      <c r="I3" s="31" t="s">
        <v>146</v>
      </c>
      <c r="J3" s="31" t="s">
        <v>146</v>
      </c>
      <c r="K3" s="31"/>
      <c r="L3" s="31"/>
      <c r="M3" s="31"/>
      <c r="N3" s="31"/>
      <c r="O3" s="31"/>
      <c r="P3" s="32"/>
      <c r="Q3" s="32"/>
      <c r="R3" s="32"/>
      <c r="S3" s="32"/>
      <c r="T3" s="32"/>
      <c r="U3" s="32"/>
      <c r="V3" s="31"/>
    </row>
    <row r="4" spans="1:22" x14ac:dyDescent="0.3">
      <c r="A4" s="30" t="s">
        <v>32</v>
      </c>
      <c r="B4" s="31" t="s">
        <v>146</v>
      </c>
      <c r="C4" s="31"/>
      <c r="D4" s="31"/>
      <c r="E4" s="31"/>
      <c r="F4" s="31"/>
      <c r="G4" s="31"/>
      <c r="H4" s="31"/>
      <c r="I4" s="31" t="s">
        <v>146</v>
      </c>
      <c r="J4" s="31" t="s">
        <v>146</v>
      </c>
      <c r="K4" s="31" t="s">
        <v>146</v>
      </c>
      <c r="L4" s="31" t="s">
        <v>146</v>
      </c>
      <c r="M4" s="31" t="s">
        <v>146</v>
      </c>
      <c r="N4" s="31" t="s">
        <v>146</v>
      </c>
      <c r="O4" s="31" t="s">
        <v>146</v>
      </c>
      <c r="P4" s="32"/>
      <c r="Q4" s="32"/>
      <c r="R4" s="32"/>
      <c r="S4" s="32"/>
      <c r="T4" s="32"/>
      <c r="U4" s="32"/>
      <c r="V4" s="31"/>
    </row>
    <row r="5" spans="1:22" x14ac:dyDescent="0.3">
      <c r="A5" s="30" t="s">
        <v>136</v>
      </c>
      <c r="B5" s="31" t="s">
        <v>146</v>
      </c>
      <c r="C5" s="31" t="s">
        <v>146</v>
      </c>
      <c r="D5" s="31" t="s">
        <v>146</v>
      </c>
      <c r="E5" s="31" t="s">
        <v>146</v>
      </c>
      <c r="F5" s="31" t="s">
        <v>146</v>
      </c>
      <c r="G5" s="31" t="s">
        <v>146</v>
      </c>
      <c r="H5" s="31" t="s">
        <v>146</v>
      </c>
      <c r="I5" s="31" t="s">
        <v>146</v>
      </c>
      <c r="J5" s="31" t="s">
        <v>146</v>
      </c>
      <c r="K5" s="31" t="s">
        <v>146</v>
      </c>
      <c r="L5" s="31" t="s">
        <v>146</v>
      </c>
      <c r="M5" s="31" t="s">
        <v>146</v>
      </c>
      <c r="N5" s="31" t="s">
        <v>146</v>
      </c>
      <c r="O5" s="31" t="s">
        <v>146</v>
      </c>
      <c r="P5" s="32"/>
      <c r="Q5" s="32"/>
      <c r="R5" s="32"/>
      <c r="S5" s="32"/>
      <c r="T5" s="32"/>
      <c r="U5" s="32"/>
      <c r="V5" s="31"/>
    </row>
    <row r="6" spans="1:22" x14ac:dyDescent="0.3">
      <c r="A6" s="30" t="s">
        <v>25</v>
      </c>
      <c r="B6" s="31" t="s">
        <v>146</v>
      </c>
      <c r="C6" s="31"/>
      <c r="D6" s="31"/>
      <c r="E6" s="31"/>
      <c r="F6" s="31"/>
      <c r="G6" s="31"/>
      <c r="H6" s="31"/>
      <c r="I6" s="31" t="s">
        <v>146</v>
      </c>
      <c r="J6" s="31" t="s">
        <v>146</v>
      </c>
      <c r="K6" s="31" t="s">
        <v>146</v>
      </c>
      <c r="L6" s="31" t="s">
        <v>146</v>
      </c>
      <c r="M6" s="31" t="s">
        <v>146</v>
      </c>
      <c r="N6" s="31" t="s">
        <v>146</v>
      </c>
      <c r="O6" s="31" t="s">
        <v>146</v>
      </c>
      <c r="P6" s="32"/>
      <c r="Q6" s="32"/>
      <c r="R6" s="32"/>
      <c r="S6" s="32"/>
      <c r="T6" s="32"/>
      <c r="U6" s="32"/>
      <c r="V6" s="31"/>
    </row>
    <row r="7" spans="1:22" x14ac:dyDescent="0.3">
      <c r="A7" s="30" t="s">
        <v>141</v>
      </c>
      <c r="B7" s="31" t="s">
        <v>146</v>
      </c>
      <c r="C7" s="31" t="s">
        <v>146</v>
      </c>
      <c r="D7" s="31" t="s">
        <v>146</v>
      </c>
      <c r="E7" s="31" t="s">
        <v>146</v>
      </c>
      <c r="F7" s="31" t="s">
        <v>146</v>
      </c>
      <c r="G7" s="31" t="s">
        <v>146</v>
      </c>
      <c r="H7" s="31"/>
      <c r="I7" s="31" t="s">
        <v>146</v>
      </c>
      <c r="J7" s="31" t="s">
        <v>146</v>
      </c>
      <c r="K7" s="31"/>
      <c r="L7" s="31"/>
      <c r="M7" s="31"/>
      <c r="N7" s="31"/>
      <c r="O7" s="31"/>
      <c r="P7" s="31" t="s">
        <v>146</v>
      </c>
      <c r="Q7" s="31" t="s">
        <v>146</v>
      </c>
      <c r="R7" s="31" t="s">
        <v>146</v>
      </c>
      <c r="S7" s="31" t="s">
        <v>146</v>
      </c>
      <c r="T7" s="31" t="s">
        <v>146</v>
      </c>
      <c r="U7" s="31" t="s">
        <v>146</v>
      </c>
      <c r="V7" s="31"/>
    </row>
    <row r="8" spans="1:22" x14ac:dyDescent="0.3">
      <c r="A8" s="30" t="s">
        <v>142</v>
      </c>
      <c r="B8" s="31" t="s">
        <v>146</v>
      </c>
      <c r="C8" s="31" t="s">
        <v>146</v>
      </c>
      <c r="D8" s="31" t="s">
        <v>146</v>
      </c>
      <c r="E8" s="31" t="s">
        <v>146</v>
      </c>
      <c r="F8" s="31" t="s">
        <v>146</v>
      </c>
      <c r="G8" s="31" t="s">
        <v>146</v>
      </c>
      <c r="H8" s="31"/>
      <c r="I8" s="31" t="s">
        <v>146</v>
      </c>
      <c r="J8" s="31" t="s">
        <v>146</v>
      </c>
      <c r="K8" s="31"/>
      <c r="L8" s="31"/>
      <c r="M8" s="31"/>
      <c r="N8" s="31"/>
      <c r="O8" s="31"/>
      <c r="P8" s="31" t="s">
        <v>146</v>
      </c>
      <c r="Q8" s="31" t="s">
        <v>146</v>
      </c>
      <c r="R8" s="31" t="s">
        <v>146</v>
      </c>
      <c r="S8" s="31" t="s">
        <v>146</v>
      </c>
      <c r="T8" s="31" t="s">
        <v>146</v>
      </c>
      <c r="U8" s="31" t="s">
        <v>146</v>
      </c>
      <c r="V8" s="31"/>
    </row>
    <row r="9" spans="1:22" x14ac:dyDescent="0.3">
      <c r="A9" s="30" t="s">
        <v>143</v>
      </c>
      <c r="B9" s="31" t="s">
        <v>146</v>
      </c>
      <c r="C9" s="31" t="s">
        <v>146</v>
      </c>
      <c r="D9" s="31" t="s">
        <v>146</v>
      </c>
      <c r="E9" s="31" t="s">
        <v>146</v>
      </c>
      <c r="F9" s="31" t="s">
        <v>146</v>
      </c>
      <c r="G9" s="31" t="s">
        <v>146</v>
      </c>
      <c r="H9" s="31" t="s">
        <v>146</v>
      </c>
      <c r="I9" s="31" t="s">
        <v>146</v>
      </c>
      <c r="J9" s="31" t="s">
        <v>146</v>
      </c>
      <c r="K9" s="31"/>
      <c r="L9" s="31"/>
      <c r="M9" s="31"/>
      <c r="N9" s="31"/>
      <c r="O9" s="31"/>
      <c r="P9" s="31" t="s">
        <v>146</v>
      </c>
      <c r="Q9" s="31" t="s">
        <v>146</v>
      </c>
      <c r="R9" s="31" t="s">
        <v>146</v>
      </c>
      <c r="S9" s="31" t="s">
        <v>146</v>
      </c>
      <c r="T9" s="31" t="s">
        <v>146</v>
      </c>
      <c r="U9" s="31" t="s">
        <v>146</v>
      </c>
      <c r="V9" s="31"/>
    </row>
    <row r="10" spans="1:22" x14ac:dyDescent="0.3">
      <c r="A10" s="30" t="s">
        <v>144</v>
      </c>
      <c r="B10" s="31" t="s">
        <v>146</v>
      </c>
      <c r="C10" s="31" t="s">
        <v>146</v>
      </c>
      <c r="D10" s="31" t="s">
        <v>146</v>
      </c>
      <c r="E10" s="31"/>
      <c r="F10" s="31"/>
      <c r="G10" s="31"/>
      <c r="H10" s="31"/>
      <c r="I10" s="31" t="s">
        <v>146</v>
      </c>
      <c r="J10" s="31" t="s">
        <v>146</v>
      </c>
      <c r="K10" s="31"/>
      <c r="L10" s="31"/>
      <c r="M10" s="31"/>
      <c r="N10" s="31"/>
      <c r="O10" s="31"/>
      <c r="P10" s="31" t="s">
        <v>146</v>
      </c>
      <c r="Q10" s="32"/>
      <c r="R10" s="32"/>
      <c r="S10" s="32"/>
      <c r="T10" s="32"/>
      <c r="U10" s="32"/>
      <c r="V10" s="31"/>
    </row>
    <row r="11" spans="1:22" x14ac:dyDescent="0.3">
      <c r="A11" s="30" t="s">
        <v>50</v>
      </c>
      <c r="B11" s="31" t="s">
        <v>146</v>
      </c>
      <c r="C11" s="31" t="s">
        <v>146</v>
      </c>
      <c r="D11" s="31" t="s">
        <v>146</v>
      </c>
      <c r="E11" s="31" t="s">
        <v>146</v>
      </c>
      <c r="F11" s="31" t="s">
        <v>146</v>
      </c>
      <c r="G11" s="31" t="s">
        <v>146</v>
      </c>
      <c r="H11" s="31" t="s">
        <v>146</v>
      </c>
      <c r="I11" s="31" t="s">
        <v>146</v>
      </c>
      <c r="J11" s="31" t="s">
        <v>146</v>
      </c>
      <c r="K11" s="31" t="s">
        <v>146</v>
      </c>
      <c r="L11" s="31" t="s">
        <v>146</v>
      </c>
      <c r="M11" s="31" t="s">
        <v>146</v>
      </c>
      <c r="N11" s="31" t="s">
        <v>146</v>
      </c>
      <c r="O11" s="31" t="s">
        <v>146</v>
      </c>
      <c r="P11" s="31" t="s">
        <v>146</v>
      </c>
      <c r="Q11" s="31" t="s">
        <v>146</v>
      </c>
      <c r="R11" s="31" t="s">
        <v>146</v>
      </c>
      <c r="S11" s="31" t="s">
        <v>146</v>
      </c>
      <c r="T11" s="31" t="s">
        <v>146</v>
      </c>
      <c r="U11" s="31" t="s">
        <v>146</v>
      </c>
      <c r="V11" s="31"/>
    </row>
    <row r="12" spans="1:22" x14ac:dyDescent="0.3">
      <c r="A12" s="30" t="s">
        <v>145</v>
      </c>
      <c r="B12" s="31" t="s">
        <v>146</v>
      </c>
      <c r="C12" s="31" t="s">
        <v>146</v>
      </c>
      <c r="D12" s="31" t="s">
        <v>146</v>
      </c>
      <c r="E12" s="31" t="s">
        <v>146</v>
      </c>
      <c r="F12" s="31" t="s">
        <v>146</v>
      </c>
      <c r="G12" s="31" t="s">
        <v>146</v>
      </c>
      <c r="H12" s="31" t="s">
        <v>146</v>
      </c>
      <c r="I12" s="31" t="s">
        <v>146</v>
      </c>
      <c r="J12" s="31" t="s">
        <v>146</v>
      </c>
      <c r="K12" s="31" t="s">
        <v>146</v>
      </c>
      <c r="L12" s="31" t="s">
        <v>146</v>
      </c>
      <c r="M12" s="31" t="s">
        <v>146</v>
      </c>
      <c r="N12" s="31" t="s">
        <v>146</v>
      </c>
      <c r="O12" s="31" t="s">
        <v>146</v>
      </c>
      <c r="P12" s="31" t="s">
        <v>146</v>
      </c>
      <c r="Q12" s="31" t="s">
        <v>146</v>
      </c>
      <c r="R12" s="31" t="s">
        <v>146</v>
      </c>
      <c r="S12" s="31" t="s">
        <v>146</v>
      </c>
      <c r="T12" s="31" t="s">
        <v>146</v>
      </c>
      <c r="U12" s="31" t="s">
        <v>146</v>
      </c>
      <c r="V12" s="31"/>
    </row>
  </sheetData>
  <conditionalFormatting sqref="B2:O12">
    <cfRule type="cellIs" dxfId="3" priority="5" operator="equal">
      <formula>"X"</formula>
    </cfRule>
  </conditionalFormatting>
  <conditionalFormatting sqref="P7:P12">
    <cfRule type="cellIs" dxfId="2" priority="3" operator="equal">
      <formula>"X"</formula>
    </cfRule>
  </conditionalFormatting>
  <conditionalFormatting sqref="Q7:U9">
    <cfRule type="cellIs" dxfId="1" priority="2" operator="equal">
      <formula>"X"</formula>
    </cfRule>
  </conditionalFormatting>
  <conditionalFormatting sqref="Q11:U12">
    <cfRule type="cellIs" dxfId="0" priority="1" operator="equal">
      <formula>"X"</formula>
    </cfRule>
  </conditionalFormatting>
  <pageMargins left="0.7" right="0.7" top="0.75" bottom="0.75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23"/>
  <sheetViews>
    <sheetView zoomScaleNormal="100" workbookViewId="0">
      <pane ySplit="1" topLeftCell="A2" activePane="bottomLeft" state="frozen"/>
      <selection pane="bottomLeft" activeCell="A3" sqref="A3"/>
    </sheetView>
  </sheetViews>
  <sheetFormatPr defaultColWidth="8.6640625" defaultRowHeight="14.4" x14ac:dyDescent="0.3"/>
  <cols>
    <col min="1" max="1" width="81.77734375" customWidth="1"/>
    <col min="2" max="2" width="38.33203125" customWidth="1"/>
    <col min="3" max="3" width="71.6640625" customWidth="1"/>
  </cols>
  <sheetData>
    <row r="1" spans="1:8" ht="15" customHeight="1" x14ac:dyDescent="0.4">
      <c r="A1" s="87" t="s">
        <v>147</v>
      </c>
      <c r="B1" s="87"/>
      <c r="C1" s="87"/>
      <c r="D1" s="87"/>
      <c r="E1" s="87"/>
      <c r="F1" s="87"/>
      <c r="G1" s="87"/>
      <c r="H1" s="87"/>
    </row>
    <row r="3" spans="1:8" x14ac:dyDescent="0.3">
      <c r="A3" s="33" t="s">
        <v>148</v>
      </c>
    </row>
    <row r="4" spans="1:8" ht="27" customHeight="1" x14ac:dyDescent="0.3">
      <c r="A4" s="34" t="s">
        <v>149</v>
      </c>
    </row>
    <row r="5" spans="1:8" x14ac:dyDescent="0.3">
      <c r="A5" s="27" t="s">
        <v>150</v>
      </c>
    </row>
    <row r="6" spans="1:8" ht="27" customHeight="1" x14ac:dyDescent="0.3">
      <c r="A6" s="34" t="s">
        <v>151</v>
      </c>
    </row>
    <row r="7" spans="1:8" ht="27" customHeight="1" x14ac:dyDescent="0.3">
      <c r="A7" s="27" t="s">
        <v>152</v>
      </c>
    </row>
    <row r="8" spans="1:8" ht="27" customHeight="1" x14ac:dyDescent="0.3">
      <c r="A8" s="34" t="s">
        <v>153</v>
      </c>
    </row>
    <row r="9" spans="1:8" x14ac:dyDescent="0.3">
      <c r="A9" s="27" t="s">
        <v>154</v>
      </c>
    </row>
    <row r="10" spans="1:8" ht="27" customHeight="1" x14ac:dyDescent="0.3">
      <c r="A10" s="34" t="s">
        <v>155</v>
      </c>
    </row>
    <row r="11" spans="1:8" ht="27" customHeight="1" x14ac:dyDescent="0.3">
      <c r="A11" s="27" t="s">
        <v>156</v>
      </c>
    </row>
    <row r="12" spans="1:8" ht="27" customHeight="1" x14ac:dyDescent="0.3">
      <c r="A12" s="34" t="s">
        <v>157</v>
      </c>
    </row>
    <row r="13" spans="1:8" x14ac:dyDescent="0.3">
      <c r="A13" s="27" t="s">
        <v>158</v>
      </c>
    </row>
    <row r="15" spans="1:8" ht="25.5" customHeight="1" x14ac:dyDescent="0.3">
      <c r="A15" s="88" t="s">
        <v>159</v>
      </c>
      <c r="B15" s="88"/>
      <c r="C15" s="88"/>
    </row>
    <row r="16" spans="1:8" ht="31.5" customHeight="1" x14ac:dyDescent="0.3">
      <c r="A16" s="35" t="s">
        <v>160</v>
      </c>
      <c r="B16" s="36" t="s">
        <v>161</v>
      </c>
      <c r="C16" s="36" t="s">
        <v>162</v>
      </c>
    </row>
    <row r="17" spans="1:3" ht="31.5" customHeight="1" x14ac:dyDescent="0.3">
      <c r="A17" s="37" t="s">
        <v>146</v>
      </c>
      <c r="B17" s="38" t="s">
        <v>163</v>
      </c>
      <c r="C17" s="38" t="s">
        <v>164</v>
      </c>
    </row>
    <row r="18" spans="1:3" ht="31.5" customHeight="1" x14ac:dyDescent="0.3">
      <c r="A18" s="39" t="s">
        <v>27</v>
      </c>
      <c r="B18" s="38" t="s">
        <v>165</v>
      </c>
      <c r="C18" s="38" t="s">
        <v>166</v>
      </c>
    </row>
    <row r="19" spans="1:3" ht="31.5" customHeight="1" x14ac:dyDescent="0.3">
      <c r="A19" s="40" t="s">
        <v>167</v>
      </c>
      <c r="B19" s="38" t="s">
        <v>165</v>
      </c>
      <c r="C19" s="38" t="s">
        <v>168</v>
      </c>
    </row>
    <row r="20" spans="1:3" ht="31.5" customHeight="1" x14ac:dyDescent="0.3">
      <c r="A20" s="41" t="s">
        <v>51</v>
      </c>
      <c r="B20" s="38" t="s">
        <v>165</v>
      </c>
      <c r="C20" s="38" t="s">
        <v>169</v>
      </c>
    </row>
    <row r="21" spans="1:3" ht="31.5" customHeight="1" x14ac:dyDescent="0.3">
      <c r="A21" s="42" t="s">
        <v>170</v>
      </c>
      <c r="B21" s="38" t="s">
        <v>171</v>
      </c>
      <c r="C21" s="38" t="s">
        <v>172</v>
      </c>
    </row>
    <row r="22" spans="1:3" ht="31.5" customHeight="1" x14ac:dyDescent="0.3">
      <c r="A22" s="43" t="s">
        <v>173</v>
      </c>
      <c r="B22" s="38" t="s">
        <v>174</v>
      </c>
      <c r="C22" s="38" t="s">
        <v>175</v>
      </c>
    </row>
    <row r="23" spans="1:3" ht="31.5" customHeight="1" x14ac:dyDescent="0.3">
      <c r="A23" s="44" t="s">
        <v>176</v>
      </c>
      <c r="B23" s="38" t="s">
        <v>177</v>
      </c>
      <c r="C23" s="38" t="s">
        <v>178</v>
      </c>
    </row>
  </sheetData>
  <mergeCells count="2">
    <mergeCell ref="A1:H1"/>
    <mergeCell ref="A15:C15"/>
  </mergeCells>
  <pageMargins left="0.7" right="0.7" top="0.75" bottom="0.75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Dashboard</vt:lpstr>
      <vt:lpstr>Search</vt:lpstr>
      <vt:lpstr>Entry_Form</vt:lpstr>
      <vt:lpstr>Customers</vt:lpstr>
      <vt:lpstr>Orders</vt:lpstr>
      <vt:lpstr>Order_Items</vt:lpstr>
      <vt:lpstr>Measurements</vt:lpstr>
      <vt:lpstr>Lists</vt:lpstr>
      <vt:lpstr>Item_Measurement_Config</vt:lpstr>
      <vt:lpstr>Instructions</vt:lpstr>
      <vt:lpstr>HameesStatusList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Gagneet Singh</cp:lastModifiedBy>
  <cp:revision>0</cp:revision>
  <dcterms:created xsi:type="dcterms:W3CDTF">2026-05-29T01:44:19Z</dcterms:created>
  <dcterms:modified xsi:type="dcterms:W3CDTF">2026-05-31T10:28:14Z</dcterms:modified>
  <dc:language>en-US</dc:language>
</cp:coreProperties>
</file>