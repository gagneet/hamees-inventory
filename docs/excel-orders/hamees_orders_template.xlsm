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gneet\Downloads\"/>
    </mc:Choice>
  </mc:AlternateContent>
  <xr:revisionPtr revIDLastSave="0" documentId="13_ncr:1_{CED26B1E-2934-41C3-851B-D1DEC869E288}" xr6:coauthVersionLast="47" xr6:coauthVersionMax="47" xr10:uidLastSave="{00000000-0000-0000-0000-000000000000}"/>
  <bookViews>
    <workbookView xWindow="-108" yWindow="-108" windowWidth="39096" windowHeight="25416" activeTab="1" xr2:uid="{00000000-000D-0000-FFFF-FFFF00000000}"/>
  </bookViews>
  <sheets>
    <sheet name="Dashboard" sheetId="6" r:id="rId1"/>
    <sheet name="Entry Form" sheetId="2" r:id="rId2"/>
    <sheet name="Customers" sheetId="3" r:id="rId3"/>
    <sheet name="Orders" sheetId="4" r:id="rId4"/>
    <sheet name="Measurements" sheetId="5" r:id="rId5"/>
    <sheet name="Lists" sheetId="7" r:id="rId6"/>
    <sheet name="Mini ERP Layout" sheetId="9" r:id="rId7"/>
  </sheets>
  <functionGroups builtInGroupCount="19"/>
  <definedNames>
    <definedName name="_xleta.TO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 a="1"/>
  <c r="H34" i="2" a="1"/>
  <c r="C34" i="2" a="1"/>
  <c r="B34" i="2" a="1"/>
  <c r="A34" i="2" a="1"/>
  <c r="J32" i="2" a="1"/>
  <c r="I32" i="2" a="1"/>
  <c r="H32" i="2" a="1"/>
  <c r="G32" i="2" a="1"/>
  <c r="F32" i="2" a="1"/>
  <c r="E32" i="2" a="1"/>
  <c r="D32" i="2" a="1"/>
  <c r="C32" i="2" a="1"/>
  <c r="B32" i="2" a="1"/>
  <c r="A32" i="2" a="1"/>
  <c r="J30" i="2" a="1"/>
  <c r="N504" i="7"/>
  <c r="N503" i="7"/>
  <c r="N502" i="7"/>
  <c r="N501" i="7"/>
  <c r="N500" i="7"/>
  <c r="N499" i="7"/>
  <c r="N498" i="7"/>
  <c r="N497" i="7"/>
  <c r="N496" i="7"/>
  <c r="N495" i="7"/>
  <c r="N494" i="7"/>
  <c r="N493" i="7"/>
  <c r="N492" i="7"/>
  <c r="N491" i="7"/>
  <c r="N490" i="7"/>
  <c r="N489" i="7"/>
  <c r="N488" i="7"/>
  <c r="N487" i="7"/>
  <c r="N486" i="7"/>
  <c r="N485" i="7"/>
  <c r="N484" i="7"/>
  <c r="N483" i="7"/>
  <c r="N482" i="7"/>
  <c r="N481" i="7"/>
  <c r="N480" i="7"/>
  <c r="N479" i="7"/>
  <c r="N478" i="7"/>
  <c r="N477" i="7"/>
  <c r="N476" i="7"/>
  <c r="N475" i="7"/>
  <c r="N474" i="7"/>
  <c r="N473" i="7"/>
  <c r="N472" i="7"/>
  <c r="N471" i="7"/>
  <c r="N470" i="7"/>
  <c r="N469" i="7"/>
  <c r="N468" i="7"/>
  <c r="N467" i="7"/>
  <c r="N466" i="7"/>
  <c r="N465" i="7"/>
  <c r="N464" i="7"/>
  <c r="N463" i="7"/>
  <c r="N462" i="7"/>
  <c r="N461" i="7"/>
  <c r="N460" i="7"/>
  <c r="N459" i="7"/>
  <c r="N458" i="7"/>
  <c r="N457" i="7"/>
  <c r="N456" i="7"/>
  <c r="N455" i="7"/>
  <c r="N454" i="7"/>
  <c r="N453" i="7"/>
  <c r="N452" i="7"/>
  <c r="N451" i="7"/>
  <c r="N450" i="7"/>
  <c r="N449" i="7"/>
  <c r="N448" i="7"/>
  <c r="N447" i="7"/>
  <c r="N446" i="7"/>
  <c r="N445" i="7"/>
  <c r="N444" i="7"/>
  <c r="N443" i="7"/>
  <c r="N442" i="7"/>
  <c r="N441" i="7"/>
  <c r="N440" i="7"/>
  <c r="N439" i="7"/>
  <c r="N438" i="7"/>
  <c r="N437" i="7"/>
  <c r="N436" i="7"/>
  <c r="N435" i="7"/>
  <c r="N434" i="7"/>
  <c r="N433" i="7"/>
  <c r="N432" i="7"/>
  <c r="N431" i="7"/>
  <c r="N430" i="7"/>
  <c r="N429" i="7"/>
  <c r="N428" i="7"/>
  <c r="N427" i="7"/>
  <c r="N426" i="7"/>
  <c r="N425" i="7"/>
  <c r="N424" i="7"/>
  <c r="N423" i="7"/>
  <c r="N422" i="7"/>
  <c r="N421" i="7"/>
  <c r="N420" i="7"/>
  <c r="N419" i="7"/>
  <c r="N418" i="7"/>
  <c r="N417" i="7"/>
  <c r="N416" i="7"/>
  <c r="N415" i="7"/>
  <c r="N414" i="7"/>
  <c r="N413" i="7"/>
  <c r="N412" i="7"/>
  <c r="N411" i="7"/>
  <c r="N410" i="7"/>
  <c r="N409" i="7"/>
  <c r="N408" i="7"/>
  <c r="N407" i="7"/>
  <c r="N406" i="7"/>
  <c r="N405" i="7"/>
  <c r="N404" i="7"/>
  <c r="N403" i="7"/>
  <c r="N402" i="7"/>
  <c r="N401" i="7"/>
  <c r="N400" i="7"/>
  <c r="N399" i="7"/>
  <c r="N398" i="7"/>
  <c r="N397" i="7"/>
  <c r="N396" i="7"/>
  <c r="N395" i="7"/>
  <c r="N394" i="7"/>
  <c r="N393" i="7"/>
  <c r="N392" i="7"/>
  <c r="N391" i="7"/>
  <c r="N390" i="7"/>
  <c r="N389" i="7"/>
  <c r="N388" i="7"/>
  <c r="N387" i="7"/>
  <c r="N386" i="7"/>
  <c r="N385" i="7"/>
  <c r="N384" i="7"/>
  <c r="N383" i="7"/>
  <c r="N382" i="7"/>
  <c r="N381" i="7"/>
  <c r="N380" i="7"/>
  <c r="N379" i="7"/>
  <c r="N378" i="7"/>
  <c r="N377" i="7"/>
  <c r="N376" i="7"/>
  <c r="N375" i="7"/>
  <c r="N374" i="7"/>
  <c r="N373" i="7"/>
  <c r="N372" i="7"/>
  <c r="N371" i="7"/>
  <c r="N370" i="7"/>
  <c r="N369" i="7"/>
  <c r="N368" i="7"/>
  <c r="N367" i="7"/>
  <c r="N366" i="7"/>
  <c r="N365" i="7"/>
  <c r="N364" i="7"/>
  <c r="N363" i="7"/>
  <c r="N362" i="7"/>
  <c r="N361" i="7"/>
  <c r="N360" i="7"/>
  <c r="N359" i="7"/>
  <c r="N358" i="7"/>
  <c r="N357" i="7"/>
  <c r="N356" i="7"/>
  <c r="N355" i="7"/>
  <c r="N354" i="7"/>
  <c r="N353" i="7"/>
  <c r="N352" i="7"/>
  <c r="N351" i="7"/>
  <c r="N350" i="7"/>
  <c r="N349" i="7"/>
  <c r="N348" i="7"/>
  <c r="N347" i="7"/>
  <c r="N346" i="7"/>
  <c r="N345" i="7"/>
  <c r="N344" i="7"/>
  <c r="N343" i="7"/>
  <c r="N342" i="7"/>
  <c r="N341" i="7"/>
  <c r="N340" i="7"/>
  <c r="N339" i="7"/>
  <c r="N338" i="7"/>
  <c r="N337" i="7"/>
  <c r="N336" i="7"/>
  <c r="N335" i="7"/>
  <c r="N334" i="7"/>
  <c r="N333" i="7"/>
  <c r="N332" i="7"/>
  <c r="N331" i="7"/>
  <c r="N330" i="7"/>
  <c r="N329" i="7"/>
  <c r="N328" i="7"/>
  <c r="N327" i="7"/>
  <c r="N326" i="7"/>
  <c r="N325" i="7"/>
  <c r="N324" i="7"/>
  <c r="N323" i="7"/>
  <c r="N322" i="7"/>
  <c r="N321" i="7"/>
  <c r="N320" i="7"/>
  <c r="N319" i="7"/>
  <c r="N318" i="7"/>
  <c r="N317" i="7"/>
  <c r="N316" i="7"/>
  <c r="N315" i="7"/>
  <c r="N314" i="7"/>
  <c r="N313" i="7"/>
  <c r="N312" i="7"/>
  <c r="N311" i="7"/>
  <c r="N310" i="7"/>
  <c r="N309" i="7"/>
  <c r="N308" i="7"/>
  <c r="N307" i="7"/>
  <c r="N306" i="7"/>
  <c r="N305" i="7"/>
  <c r="N304" i="7"/>
  <c r="N303" i="7"/>
  <c r="N302" i="7"/>
  <c r="N301" i="7"/>
  <c r="N300" i="7"/>
  <c r="N299" i="7"/>
  <c r="N298" i="7"/>
  <c r="N297" i="7"/>
  <c r="N296" i="7"/>
  <c r="N295" i="7"/>
  <c r="N294" i="7"/>
  <c r="N293" i="7"/>
  <c r="N292" i="7"/>
  <c r="N291" i="7"/>
  <c r="N290" i="7"/>
  <c r="N289" i="7"/>
  <c r="N288" i="7"/>
  <c r="N287" i="7"/>
  <c r="N286" i="7"/>
  <c r="N285" i="7"/>
  <c r="N284" i="7"/>
  <c r="N283" i="7"/>
  <c r="N282" i="7"/>
  <c r="N281" i="7"/>
  <c r="N280" i="7"/>
  <c r="N279" i="7"/>
  <c r="N278" i="7"/>
  <c r="N277" i="7"/>
  <c r="N276" i="7"/>
  <c r="N275" i="7"/>
  <c r="N274" i="7"/>
  <c r="N273" i="7"/>
  <c r="N272" i="7"/>
  <c r="N271" i="7"/>
  <c r="N270" i="7"/>
  <c r="N269" i="7"/>
  <c r="N268" i="7"/>
  <c r="N267" i="7"/>
  <c r="N266" i="7"/>
  <c r="N265" i="7"/>
  <c r="N264" i="7"/>
  <c r="N263" i="7"/>
  <c r="N262" i="7"/>
  <c r="N261" i="7"/>
  <c r="N260" i="7"/>
  <c r="N259" i="7"/>
  <c r="N258" i="7"/>
  <c r="N257" i="7"/>
  <c r="N256" i="7"/>
  <c r="N255" i="7"/>
  <c r="N254" i="7"/>
  <c r="N253" i="7"/>
  <c r="N252" i="7"/>
  <c r="N251" i="7"/>
  <c r="N250" i="7"/>
  <c r="N249" i="7"/>
  <c r="N248" i="7"/>
  <c r="N247" i="7"/>
  <c r="N246" i="7"/>
  <c r="N245" i="7"/>
  <c r="N244" i="7"/>
  <c r="N243" i="7"/>
  <c r="N242" i="7"/>
  <c r="N241" i="7"/>
  <c r="N240" i="7"/>
  <c r="N239" i="7"/>
  <c r="N238" i="7"/>
  <c r="N237" i="7"/>
  <c r="N236" i="7"/>
  <c r="N235" i="7"/>
  <c r="N234" i="7"/>
  <c r="N233" i="7"/>
  <c r="N232" i="7"/>
  <c r="N231" i="7"/>
  <c r="N230" i="7"/>
  <c r="N229" i="7"/>
  <c r="N228" i="7"/>
  <c r="N227" i="7"/>
  <c r="N226" i="7"/>
  <c r="N225" i="7"/>
  <c r="N224" i="7"/>
  <c r="N223" i="7"/>
  <c r="N222" i="7"/>
  <c r="N221" i="7"/>
  <c r="N220" i="7"/>
  <c r="N219" i="7"/>
  <c r="N218" i="7"/>
  <c r="N217" i="7"/>
  <c r="N216" i="7"/>
  <c r="N215" i="7"/>
  <c r="N214" i="7"/>
  <c r="N213" i="7"/>
  <c r="N212" i="7"/>
  <c r="N211" i="7"/>
  <c r="N210" i="7"/>
  <c r="N209" i="7"/>
  <c r="N208" i="7"/>
  <c r="N207" i="7"/>
  <c r="N206" i="7"/>
  <c r="N205" i="7"/>
  <c r="N204" i="7"/>
  <c r="N203" i="7"/>
  <c r="N202" i="7"/>
  <c r="N201" i="7"/>
  <c r="N200" i="7"/>
  <c r="N199" i="7"/>
  <c r="N198" i="7"/>
  <c r="N197" i="7"/>
  <c r="N196" i="7"/>
  <c r="N195" i="7"/>
  <c r="N194" i="7"/>
  <c r="N193" i="7"/>
  <c r="N192" i="7"/>
  <c r="N191" i="7"/>
  <c r="N190" i="7"/>
  <c r="N189" i="7"/>
  <c r="N188" i="7"/>
  <c r="N187" i="7"/>
  <c r="N186" i="7"/>
  <c r="N185" i="7"/>
  <c r="N184" i="7"/>
  <c r="N183" i="7"/>
  <c r="N182" i="7"/>
  <c r="N181" i="7"/>
  <c r="N180" i="7"/>
  <c r="N179" i="7"/>
  <c r="N178" i="7"/>
  <c r="N177" i="7"/>
  <c r="N176" i="7"/>
  <c r="N175" i="7"/>
  <c r="N174" i="7"/>
  <c r="N173" i="7"/>
  <c r="N172" i="7"/>
  <c r="N171" i="7"/>
  <c r="N170" i="7"/>
  <c r="N169" i="7"/>
  <c r="N168" i="7"/>
  <c r="N167" i="7"/>
  <c r="N166" i="7"/>
  <c r="N165" i="7"/>
  <c r="N164" i="7"/>
  <c r="N163" i="7"/>
  <c r="N162" i="7"/>
  <c r="N161" i="7"/>
  <c r="N160" i="7"/>
  <c r="N159" i="7"/>
  <c r="N158" i="7"/>
  <c r="N157" i="7"/>
  <c r="N156" i="7"/>
  <c r="N155" i="7"/>
  <c r="N154" i="7"/>
  <c r="N153" i="7"/>
  <c r="N152" i="7"/>
  <c r="N151" i="7"/>
  <c r="N150" i="7"/>
  <c r="N149" i="7"/>
  <c r="N148" i="7"/>
  <c r="N147" i="7"/>
  <c r="N146" i="7"/>
  <c r="N145" i="7"/>
  <c r="N144" i="7"/>
  <c r="N143" i="7"/>
  <c r="N142" i="7"/>
  <c r="N141" i="7"/>
  <c r="N140" i="7"/>
  <c r="N139" i="7"/>
  <c r="N138" i="7"/>
  <c r="N137" i="7"/>
  <c r="N136" i="7"/>
  <c r="N135" i="7"/>
  <c r="N134" i="7"/>
  <c r="N133" i="7"/>
  <c r="N132" i="7"/>
  <c r="N131" i="7"/>
  <c r="N130" i="7"/>
  <c r="N129" i="7"/>
  <c r="N128" i="7"/>
  <c r="N127" i="7"/>
  <c r="N126" i="7"/>
  <c r="N125" i="7"/>
  <c r="N124" i="7"/>
  <c r="N123" i="7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N95" i="7"/>
  <c r="N94" i="7"/>
  <c r="N93" i="7"/>
  <c r="N92" i="7"/>
  <c r="N91" i="7"/>
  <c r="N90" i="7"/>
  <c r="N89" i="7"/>
  <c r="N88" i="7"/>
  <c r="N87" i="7"/>
  <c r="N86" i="7"/>
  <c r="N85" i="7"/>
  <c r="N84" i="7"/>
  <c r="N83" i="7"/>
  <c r="N82" i="7"/>
  <c r="N81" i="7"/>
  <c r="N80" i="7"/>
  <c r="N79" i="7"/>
  <c r="N78" i="7"/>
  <c r="N77" i="7"/>
  <c r="N76" i="7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J7" i="4"/>
  <c r="K7" i="4"/>
  <c r="Q7" i="4"/>
  <c r="S7" i="4"/>
  <c r="T7" i="4"/>
  <c r="J6" i="4"/>
  <c r="K6" i="4"/>
  <c r="Q6" i="4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B18" i="6"/>
  <c r="F14" i="6" a="1"/>
  <c r="E14" i="6" a="1"/>
  <c r="D14" i="6" a="1"/>
  <c r="C14" i="6" a="1"/>
  <c r="B14" i="6" a="1"/>
  <c r="G13" i="6" a="1"/>
  <c r="F13" i="6" a="1"/>
  <c r="E13" i="6" a="1"/>
  <c r="D13" i="6" a="1"/>
  <c r="C13" i="6" a="1"/>
  <c r="B13" i="6" a="1"/>
  <c r="G12" i="6" a="1"/>
  <c r="F12" i="6" a="1"/>
  <c r="E12" i="6" a="1"/>
  <c r="D12" i="6" a="1"/>
  <c r="C12" i="6" a="1"/>
  <c r="B12" i="6" a="1"/>
  <c r="G5" i="6"/>
  <c r="E5" i="6" a="1"/>
  <c r="A5" i="6"/>
  <c r="J1" i="6"/>
  <c r="C39" i="2" a="1"/>
  <c r="A39" i="2" a="1"/>
  <c r="A37" i="2" a="1"/>
  <c r="I30" i="2" a="1"/>
  <c r="H30" i="2" a="1"/>
  <c r="G30" i="2" a="1"/>
  <c r="F30" i="2" a="1"/>
  <c r="E30" i="2" a="1"/>
  <c r="D30" i="2" a="1"/>
  <c r="C30" i="2" a="1"/>
  <c r="B30" i="2" a="1"/>
  <c r="A30" i="2" a="1"/>
  <c r="A29" i="2" a="1"/>
  <c r="D27" i="2" a="1"/>
  <c r="A27" i="2" a="1"/>
  <c r="D26" i="2" a="1"/>
  <c r="A26" i="2" a="1"/>
  <c r="D25" i="2" a="1"/>
  <c r="A25" i="2" a="1"/>
  <c r="E24" i="2"/>
  <c r="D24" i="2" a="1"/>
  <c r="A24" i="2" a="1"/>
  <c r="D23" i="2" a="1"/>
  <c r="A23" i="2" a="1"/>
  <c r="D22" i="2" a="1"/>
  <c r="A22" i="2" a="1"/>
  <c r="D21" i="2" a="1"/>
  <c r="A21" i="2" a="1"/>
  <c r="D20" i="2" a="1"/>
  <c r="A20" i="2" a="1"/>
  <c r="E19" i="2"/>
  <c r="D19" i="2" a="1"/>
  <c r="A19" i="2" a="1"/>
  <c r="A18" i="2" a="1"/>
  <c r="A16" i="2" a="1"/>
  <c r="A15" i="2" a="1"/>
  <c r="A14" i="2" a="1"/>
  <c r="A13" i="2" a="1"/>
  <c r="A12" i="2" a="1"/>
  <c r="A11" i="2" a="1"/>
  <c r="A10" i="2" a="1"/>
  <c r="A9" i="2" a="1"/>
  <c r="A8" i="2" a="1"/>
  <c r="A7" i="2" a="1"/>
  <c r="A6" i="2" a="1"/>
  <c r="A5" i="2" a="1"/>
  <c r="D4" i="2" a="1"/>
  <c r="A4" i="2" a="1"/>
  <c r="I1" i="2" a="1"/>
  <c r="A1" i="2" a="1"/>
  <c r="Q5" i="4"/>
  <c r="K5" i="4"/>
  <c r="J5" i="4"/>
  <c r="C18" i="6" l="1"/>
  <c r="B26" i="6"/>
  <c r="S6" i="4"/>
  <c r="T6" i="4" s="1"/>
  <c r="S5" i="4"/>
  <c r="E7" i="2"/>
  <c r="E6" i="2"/>
  <c r="E11" i="2"/>
  <c r="E10" i="2"/>
  <c r="E9" i="2"/>
  <c r="E8" i="2" a="1"/>
  <c r="E26" i="2"/>
  <c r="B20" i="2"/>
  <c r="G10" i="6" a="1"/>
  <c r="F10" i="6" a="1"/>
  <c r="E10" i="6" a="1"/>
  <c r="D10" i="6" a="1"/>
  <c r="C10" i="6" a="1"/>
  <c r="B10" i="6" a="1"/>
  <c r="C5" i="6"/>
  <c r="C26" i="6" l="1"/>
  <c r="E27" i="2"/>
  <c r="G14" i="6" a="1"/>
  <c r="I5" i="6"/>
  <c r="T5" i="4"/>
  <c r="B21" i="2"/>
  <c r="B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Gagneet Singh</author>
  </authors>
  <commentList>
    <comment ref="B5" authorId="0" shapeId="0" xr:uid="{9582152E-AF7F-41F7-A3D3-2BD56074C4F2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Changing this clears the form (VBA Worksheet_Change handler).</t>
        </r>
      </text>
    </comment>
    <comment ref="E5" authorId="0" shapeId="0" xr:uid="{71C9B786-8A3F-42D6-8DBA-4AD9EF3D0469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Pick from dropdown. VBA loads the customer's data into the form.</t>
        </r>
      </text>
    </comment>
    <comment ref="B6" authorId="0" shapeId="0" xr:uid="{2EBCE41E-0462-4B17-B8CA-1FFA97A11FA9}">
      <text>
        <r>
          <rPr>
            <b/>
            <sz val="9"/>
            <color indexed="81"/>
            <rFont val="Tahoma"/>
            <family val="2"/>
          </rPr>
          <t>Auto Customer ID (formula stays here — do not type over)</t>
        </r>
      </text>
    </comment>
    <comment ref="B7" authorId="0" shapeId="0" xr:uid="{24B7E3D0-2EDE-4195-AB9C-1C6B8E6382E4}">
      <text>
        <r>
          <rPr>
            <b/>
            <sz val="9"/>
            <color indexed="81"/>
            <rFont val="Tahoma"/>
            <family val="2"/>
          </rPr>
          <t>Auto-filled by VBA when Existing customer is picked</t>
        </r>
      </text>
    </comment>
    <comment ref="B8" authorId="0" shapeId="0" xr:uid="{F54D7FB9-7FFC-42A0-801E-E997FD0DBF91}">
      <text>
        <r>
          <rPr>
            <b/>
            <sz val="9"/>
            <color indexed="81"/>
            <rFont val="Tahoma"/>
            <family val="2"/>
          </rPr>
          <t>Auto-filled by VBA</t>
        </r>
      </text>
    </comment>
    <comment ref="E8" authorId="0" shapeId="0" xr:uid="{3733775F-CB80-4CFE-B664-7CEC8308333D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Most recent Order ID for this customer</t>
        </r>
      </text>
    </comment>
    <comment ref="B12" authorId="0" shapeId="0" xr:uid="{B5988541-B668-4E21-AF86-42192AE77277}">
      <text>
        <r>
          <rPr>
            <b/>
            <sz val="9"/>
            <color indexed="81"/>
            <rFont val="Tahoma"/>
            <family val="2"/>
          </rPr>
          <t>Source applies to New customers only</t>
        </r>
      </text>
    </comment>
    <comment ref="B19" authorId="0" shapeId="0" xr:uid="{DDCE53C2-3CED-4A91-8191-EE3A37FB9B86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Auto from Order No + Line No</t>
        </r>
      </text>
    </comment>
    <comment ref="E19" authorId="0" shapeId="0" xr:uid="{302FB616-43F1-4AC7-BB43-3FC017E6718A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Required. Defaults to today.</t>
        </r>
      </text>
    </comment>
    <comment ref="B20" authorId="0" shapeId="0" xr:uid="{62DCEED8-9568-47AB-9D1B-51EB6F981B6F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Per-customer Order No</t>
        </r>
      </text>
    </comment>
    <comment ref="E20" authorId="0" shapeId="0" xr:uid="{8D0AA2FD-9D89-4AE5-B5B8-AB48CA1A65B1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Optional</t>
        </r>
      </text>
    </comment>
    <comment ref="B21" authorId="0" shapeId="0" xr:uid="{9C0C0EC3-05DF-4F2F-B200-7CF4FA22E36C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Auto Line No within this Order No</t>
        </r>
      </text>
    </comment>
    <comment ref="E21" authorId="0" shapeId="0" xr:uid="{011E4A01-292F-4536-9E55-C5AC8AF4A453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REQUIRED</t>
        </r>
      </text>
    </comment>
    <comment ref="B22" authorId="0" shapeId="0" xr:uid="{F8C597F7-EE47-4154-AFA9-E94713CD6EB1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REQUIRED</t>
        </r>
      </text>
    </comment>
    <comment ref="E22" authorId="0" shapeId="0" xr:uid="{6D69089F-915D-4EF6-B9E2-2290F70DE136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REQUIRED, must be &gt; 0</t>
        </r>
      </text>
    </comment>
    <comment ref="B23" authorId="0" shapeId="0" xr:uid="{CB922F1F-A190-4B46-A265-9A188D4BE0FD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REQUIRED</t>
        </r>
      </text>
    </comment>
    <comment ref="B24" authorId="0" shapeId="0" xr:uid="{4DE2395F-5102-4664-85F4-D72D16B81614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REQUIRED</t>
        </r>
      </text>
    </comment>
    <comment ref="E25" authorId="0" shapeId="0" xr:uid="{782853EA-F075-4C98-80B2-631A1052BF50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Defaults to 0</t>
        </r>
      </text>
    </comment>
    <comment ref="J31" authorId="0" shapeId="0" xr:uid="{0D607255-2C16-4BB7-83F7-C4D9F653A7F8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Elbow</t>
        </r>
      </text>
    </comment>
    <comment ref="A33" authorId="0" shapeId="0" xr:uid="{3E4752CF-9EAC-4F9C-8A78-011E6208B52F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Cuff</t>
        </r>
      </text>
    </comment>
    <comment ref="B33" authorId="0" shapeId="0" xr:uid="{32C46C5E-70FE-4702-B21B-D3102273F7AB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Armhole</t>
        </r>
      </text>
    </comment>
    <comment ref="C33" authorId="0" shapeId="0" xr:uid="{DE453287-43BB-4067-9161-98297BF81259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Cross Chest</t>
        </r>
      </text>
    </comment>
    <comment ref="D33" authorId="0" shapeId="0" xr:uid="{000FCE3E-F62A-4FF1-BEF3-25830B66194E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Front Length</t>
        </r>
      </text>
    </comment>
    <comment ref="E33" authorId="0" shapeId="0" xr:uid="{45BC8803-545B-45EF-B0D5-C8A4AC3874C6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Back Length</t>
        </r>
      </text>
    </comment>
    <comment ref="F33" authorId="0" shapeId="0" xr:uid="{10AA433D-752A-48E8-A54F-CF928E0C8DD2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Pant Waist</t>
        </r>
      </text>
    </comment>
    <comment ref="G33" authorId="0" shapeId="0" xr:uid="{5A4D4AE6-CA33-44F2-834F-0056F08124F3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Inseam</t>
        </r>
      </text>
    </comment>
    <comment ref="H33" authorId="0" shapeId="0" xr:uid="{EB33A2E9-0C6C-43CA-AF61-B4114ED417F1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Outseam</t>
        </r>
      </text>
    </comment>
    <comment ref="I33" authorId="0" shapeId="0" xr:uid="{8C59100D-4D69-4C45-A9BC-335340D8BFC0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Thigh</t>
        </r>
      </text>
    </comment>
    <comment ref="J33" authorId="0" shapeId="0" xr:uid="{351E7778-639C-435B-BF5D-F60A37A1D40B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Knee</t>
        </r>
      </text>
    </comment>
    <comment ref="A35" authorId="0" shapeId="0" xr:uid="{BF3EFD4A-ACEA-4958-AEE4-C6B8FDB557F7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Bottom/Mohri</t>
        </r>
      </text>
    </comment>
    <comment ref="B35" authorId="0" shapeId="0" xr:uid="{D35CE21E-E345-41E3-BFAF-EB1F9D79A23A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Seat</t>
        </r>
      </text>
    </comment>
    <comment ref="C35" authorId="0" shapeId="0" xr:uid="{36276399-0BCE-4A8F-8B73-7EEB87BF63A4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Rise</t>
        </r>
      </text>
    </comment>
    <comment ref="D35" authorId="0" shapeId="0" xr:uid="{5CF4F92C-FD17-491E-9914-B3371942D7F6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Notes</t>
        </r>
      </text>
    </comment>
    <comment ref="H35" authorId="0" shapeId="0" xr:uid="{E3DC135F-5851-48F1-85F4-6CE042F75CED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Sketch/Image Ref (e.g. file name or URL)</t>
        </r>
      </text>
    </comment>
    <comment ref="D38" authorId="0" shapeId="0" xr:uid="{BFE52E53-A831-49EE-B6A1-19873008B9DB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Macro writes saved Order ID</t>
        </r>
      </text>
    </comment>
    <comment ref="E38" authorId="0" shapeId="0" xr:uid="{C903DEFF-FD79-42C6-959B-1BC04563CE58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Macro writes timestamp</t>
        </r>
      </text>
    </comment>
    <comment ref="A39" authorId="0" shapeId="0" xr:uid="{FB21E1E0-9FB0-47D3-A757-31A84CC75006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Assign macro: SubmitTailorOrder</t>
        </r>
      </text>
    </comment>
    <comment ref="C39" authorId="0" shapeId="0" xr:uid="{7660B7AD-D75C-458E-93F7-94ABB458E779}">
      <text>
        <r>
          <rPr>
            <b/>
            <sz val="9"/>
            <color indexed="81"/>
            <rFont val="Tahoma"/>
            <family val="2"/>
          </rPr>
          <t>Gagneet Singh:</t>
        </r>
        <r>
          <rPr>
            <sz val="9"/>
            <color indexed="81"/>
            <rFont val="Tahoma"/>
            <family val="2"/>
          </rPr>
          <t xml:space="preserve">
Assign macro: ResetTailorForm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<sst xmlns="http://schemas.openxmlformats.org/spreadsheetml/2006/main" count="612" uniqueCount="469">
  <si>
    <t>Notes</t>
  </si>
  <si>
    <t>Status</t>
  </si>
  <si>
    <t>Owner</t>
  </si>
  <si>
    <t>Priority</t>
  </si>
  <si>
    <t>Ready</t>
  </si>
  <si>
    <t>Front Desk</t>
  </si>
  <si>
    <t>High</t>
  </si>
  <si>
    <t>Customers</t>
  </si>
  <si>
    <t>Orders</t>
  </si>
  <si>
    <t>Measurements</t>
  </si>
  <si>
    <t>Master Tailor</t>
  </si>
  <si>
    <t>Dashboard</t>
  </si>
  <si>
    <t>Medium</t>
  </si>
  <si>
    <t>Tailor Order Entry Form</t>
  </si>
  <si>
    <t>Customer Details</t>
  </si>
  <si>
    <t>Customer Mode</t>
  </si>
  <si>
    <t>New</t>
  </si>
  <si>
    <t>Existing Customer Lookup</t>
  </si>
  <si>
    <t>Submit Status</t>
  </si>
  <si>
    <t>Existing Customer ID</t>
  </si>
  <si>
    <t>Customer ID</t>
  </si>
  <si>
    <t>Last Saved</t>
  </si>
  <si>
    <t>Customer Name</t>
  </si>
  <si>
    <t>City</t>
  </si>
  <si>
    <t>Mobile</t>
  </si>
  <si>
    <t>Alternate Phone</t>
  </si>
  <si>
    <t>WhatsApp</t>
  </si>
  <si>
    <t>Address</t>
  </si>
  <si>
    <t>Created Date</t>
  </si>
  <si>
    <t>Preferred Fit</t>
  </si>
  <si>
    <t>Active?</t>
  </si>
  <si>
    <t>Source</t>
  </si>
  <si>
    <t>Order Details</t>
  </si>
  <si>
    <t>Order ID</t>
  </si>
  <si>
    <t>Qty</t>
  </si>
  <si>
    <t>Order No</t>
  </si>
  <si>
    <t>Rate</t>
  </si>
  <si>
    <t>Line No</t>
  </si>
  <si>
    <t>Amount</t>
  </si>
  <si>
    <t>Booking Date</t>
  </si>
  <si>
    <t>Advance</t>
  </si>
  <si>
    <t>Trial Date</t>
  </si>
  <si>
    <t>Balance</t>
  </si>
  <si>
    <t>Delivery Date</t>
  </si>
  <si>
    <t>Payment Status</t>
  </si>
  <si>
    <t>Item Type</t>
  </si>
  <si>
    <t>Kurta Pajama</t>
  </si>
  <si>
    <t>Booked</t>
  </si>
  <si>
    <t>Colour</t>
  </si>
  <si>
    <t>Normal</t>
  </si>
  <si>
    <t>Fabric/Material</t>
  </si>
  <si>
    <t>Assigned Staff</t>
  </si>
  <si>
    <t>Length</t>
  </si>
  <si>
    <t>Chest</t>
  </si>
  <si>
    <t>Gap</t>
  </si>
  <si>
    <t>Waist</t>
  </si>
  <si>
    <t>Hips</t>
  </si>
  <si>
    <t>Shoulder</t>
  </si>
  <si>
    <t>Sleeve</t>
  </si>
  <si>
    <t>Bicep</t>
  </si>
  <si>
    <t>Collar/Neck</t>
  </si>
  <si>
    <t>Controls</t>
  </si>
  <si>
    <t>Reset Form</t>
  </si>
  <si>
    <t>One row per customer. Reuse Customer ID in orders.</t>
  </si>
  <si>
    <t>CUST-0001</t>
  </si>
  <si>
    <t>Gurpreet Singh</t>
  </si>
  <si>
    <t>Yes</t>
  </si>
  <si>
    <t>Amritsar</t>
  </si>
  <si>
    <t>Regular</t>
  </si>
  <si>
    <t>CUST-0002</t>
  </si>
  <si>
    <t>Slim</t>
  </si>
  <si>
    <t>Orders / Garment Items</t>
  </si>
  <si>
    <t>One row per clothing item. This is the main operations sheet.</t>
  </si>
  <si>
    <t>Days Left</t>
  </si>
  <si>
    <t>Overdue?</t>
  </si>
  <si>
    <t>Blue</t>
  </si>
  <si>
    <t>Shirt</t>
  </si>
  <si>
    <t>Cotton</t>
  </si>
  <si>
    <t>Stitching</t>
  </si>
  <si>
    <t>One row per order line. Fill only measurements that apply to that garment.</t>
  </si>
  <si>
    <t>Measurement ID</t>
  </si>
  <si>
    <t>Fit</t>
  </si>
  <si>
    <t>Elbow</t>
  </si>
  <si>
    <t>Cuff</t>
  </si>
  <si>
    <t>Armhole</t>
  </si>
  <si>
    <t>Cross Chest</t>
  </si>
  <si>
    <t>Front Length</t>
  </si>
  <si>
    <t>Back Length</t>
  </si>
  <si>
    <t>Pant Waist</t>
  </si>
  <si>
    <t>Inseam</t>
  </si>
  <si>
    <t>Outseam</t>
  </si>
  <si>
    <t>Thigh</t>
  </si>
  <si>
    <t>Knee</t>
  </si>
  <si>
    <t>Bottom/Mohri</t>
  </si>
  <si>
    <t>Seat</t>
  </si>
  <si>
    <t>Rise</t>
  </si>
  <si>
    <t>Sketch/Image Ref</t>
  </si>
  <si>
    <t>Last Updated</t>
  </si>
  <si>
    <t>Delivery Tracking Dashboard</t>
  </si>
  <si>
    <t>Count</t>
  </si>
  <si>
    <t>Customer</t>
  </si>
  <si>
    <t>Cutting</t>
  </si>
  <si>
    <t>Trial Pending</t>
  </si>
  <si>
    <t>Alteration</t>
  </si>
  <si>
    <t>Amount still due</t>
  </si>
  <si>
    <t>Delivered</t>
  </si>
  <si>
    <t>Cancelled</t>
  </si>
  <si>
    <t>Configuration Lists</t>
  </si>
  <si>
    <t>Edit these lists to control dropdowns.</t>
  </si>
  <si>
    <t>Item Types</t>
  </si>
  <si>
    <t>Statuses</t>
  </si>
  <si>
    <t>Fit Types</t>
  </si>
  <si>
    <t>Priorities</t>
  </si>
  <si>
    <t>Staff</t>
  </si>
  <si>
    <t>Unpaid</t>
  </si>
  <si>
    <t>Kurta</t>
  </si>
  <si>
    <t>Part Paid</t>
  </si>
  <si>
    <t>Urgent</t>
  </si>
  <si>
    <t>Cutter</t>
  </si>
  <si>
    <t>Pajama</t>
  </si>
  <si>
    <t>Comfort</t>
  </si>
  <si>
    <t>Paid</t>
  </si>
  <si>
    <t>Wedding/VIP</t>
  </si>
  <si>
    <t>Stitcher</t>
  </si>
  <si>
    <t>Loose</t>
  </si>
  <si>
    <t>Refunded</t>
  </si>
  <si>
    <t>Finishing</t>
  </si>
  <si>
    <t>Pant</t>
  </si>
  <si>
    <t>Custom</t>
  </si>
  <si>
    <t>Coat</t>
  </si>
  <si>
    <t>Blazer</t>
  </si>
  <si>
    <t>Sherwani</t>
  </si>
  <si>
    <t>Waistcoat</t>
  </si>
  <si>
    <t>Other</t>
  </si>
  <si>
    <t>Tailor-Management Mini ERP Layout</t>
  </si>
  <si>
    <t>Blueprint for turning this workbook into a small tailoring ERP, AppSheet app, Power Apps app or web app.</t>
  </si>
  <si>
    <t>Module</t>
  </si>
  <si>
    <t>Users</t>
  </si>
  <si>
    <t>Core Screens</t>
  </si>
  <si>
    <t>Key Data</t>
  </si>
  <si>
    <t>Automation</t>
  </si>
  <si>
    <t>Reports</t>
  </si>
  <si>
    <t>Future App Table</t>
  </si>
  <si>
    <t>Integration</t>
  </si>
  <si>
    <t>Risk Control</t>
  </si>
  <si>
    <t>Customer CRM</t>
  </si>
  <si>
    <t>Front Desk, Owner</t>
  </si>
  <si>
    <t>Customer profile, measurement history</t>
  </si>
  <si>
    <t>Customers, Measurements</t>
  </si>
  <si>
    <t>Duplicate mobile alerts</t>
  </si>
  <si>
    <t>Repeat customers, inactive customers</t>
  </si>
  <si>
    <t>customers</t>
  </si>
  <si>
    <t>Customer stays once; order history grows over time</t>
  </si>
  <si>
    <t>WhatsApp click-to-chat</t>
  </si>
  <si>
    <t>Protect phone data</t>
  </si>
  <si>
    <t>Order Management</t>
  </si>
  <si>
    <t>Front Desk, Tailor</t>
  </si>
  <si>
    <t>Booking, garment line, status board</t>
  </si>
  <si>
    <t>Auto order IDs, due-date alerts</t>
  </si>
  <si>
    <t>Open/overdue/ready orders</t>
  </si>
  <si>
    <t>orders</t>
  </si>
  <si>
    <t>One order line per garment prevents confusion</t>
  </si>
  <si>
    <t>SMS/WhatsApp delivery reminders</t>
  </si>
  <si>
    <t>Status audit trail</t>
  </si>
  <si>
    <t>Master Tailor, Cutter</t>
  </si>
  <si>
    <t>Garment-specific measurement form</t>
  </si>
  <si>
    <t>Copy last measurement for repeat customer</t>
  </si>
  <si>
    <t>Measurement changes over time</t>
  </si>
  <si>
    <t>measurements</t>
  </si>
  <si>
    <t>Supports shirts, pants, coats, kurtas</t>
  </si>
  <si>
    <t>Photo/sketch attachment</t>
  </si>
  <si>
    <t>Version history</t>
  </si>
  <si>
    <t>Production Workflow</t>
  </si>
  <si>
    <t>Cutter, Stitcher, Finishing</t>
  </si>
  <si>
    <t>Cutting queue, stitching queue, finishing queue</t>
  </si>
  <si>
    <t>Orders, Staff</t>
  </si>
  <si>
    <t>Queue by status and delivery date</t>
  </si>
  <si>
    <t>Staff workload</t>
  </si>
  <si>
    <t>work_queue</t>
  </si>
  <si>
    <t>Useful once there are multiple staff</t>
  </si>
  <si>
    <t>Barcode/QR on slip</t>
  </si>
  <si>
    <t>Role access</t>
  </si>
  <si>
    <t>Billing</t>
  </si>
  <si>
    <t>Amount, advance, balance</t>
  </si>
  <si>
    <t>Orders, Payments</t>
  </si>
  <si>
    <t>Balance due alert</t>
  </si>
  <si>
    <t>Daily cash, outstanding balances</t>
  </si>
  <si>
    <t>payments</t>
  </si>
  <si>
    <t>Can split payments later</t>
  </si>
  <si>
    <t>UPI/card/cash tracking</t>
  </si>
  <si>
    <t>Cash reconciliation</t>
  </si>
  <si>
    <t>Delivery</t>
  </si>
  <si>
    <t>Ready, delivered, cancelled</t>
  </si>
  <si>
    <t>Delivery date reminders</t>
  </si>
  <si>
    <t>Delivered vs pending</t>
  </si>
  <si>
    <t>deliveries</t>
  </si>
  <si>
    <t>Capture delivery signature/photo later</t>
  </si>
  <si>
    <t>WhatsApp pickup message</t>
  </si>
  <si>
    <t>Proof of delivery</t>
  </si>
  <si>
    <t>Owner, Manager</t>
  </si>
  <si>
    <t>Daily KPIs, overdue, revenue</t>
  </si>
  <si>
    <t>Daily/weekly summary email</t>
  </si>
  <si>
    <t>Sales, ageing, staff productivity</t>
  </si>
  <si>
    <t>dashboard_views</t>
  </si>
  <si>
    <t>This workbook already includes a basic version</t>
  </si>
  <si>
    <t>Google Sheets email digest</t>
  </si>
  <si>
    <t>Data quality checks</t>
  </si>
  <si>
    <t>Admin</t>
  </si>
  <si>
    <t>Lists, staff, permissions</t>
  </si>
  <si>
    <t>Lists, Users</t>
  </si>
  <si>
    <t>Dropdown management</t>
  </si>
  <si>
    <t>Master data quality</t>
  </si>
  <si>
    <t>settings</t>
  </si>
  <si>
    <t>Start simple; expand later</t>
  </si>
  <si>
    <t>AppSheet/Power Apps</t>
  </si>
  <si>
    <t>Access control</t>
  </si>
  <si>
    <t>ORD-2026-0001-01</t>
  </si>
  <si>
    <t>Label Key</t>
  </si>
  <si>
    <t>English</t>
  </si>
  <si>
    <t>ਪੰਜਾਬੀ (Punjabi)</t>
  </si>
  <si>
    <t>हिन्दी (Hindi)</t>
  </si>
  <si>
    <t>FORM_TITLE</t>
  </si>
  <si>
    <t>ਟੇਲਰ ਆਰਡਰ ਐਂਟਰੀ ਫਾਰਮ</t>
  </si>
  <si>
    <t>टेलर ऑर्डर एंट्री फॉर्म</t>
  </si>
  <si>
    <t>CUST_DETAILS</t>
  </si>
  <si>
    <t>ਗਾਹਕ ਵੇਰਵੇ</t>
  </si>
  <si>
    <t>ग्राहक विवरण</t>
  </si>
  <si>
    <t>CUST_MODE</t>
  </si>
  <si>
    <t>ਗਾਹਕ ਮੋਡ</t>
  </si>
  <si>
    <t>ग्राहक मोड</t>
  </si>
  <si>
    <t>EXIST_CUST_ID</t>
  </si>
  <si>
    <t>ਮੌਜੂਦਾ ਗਾਹਕ ਆਈਡੀ</t>
  </si>
  <si>
    <t>मौजूदा ग्राहक आईडी</t>
  </si>
  <si>
    <t>CUST_NAME</t>
  </si>
  <si>
    <t>ਗਾਹਕ ਦਾ ਨਾਮ</t>
  </si>
  <si>
    <t>ग्राहक का नाम</t>
  </si>
  <si>
    <t>MOBILE</t>
  </si>
  <si>
    <t>ਮੋਬਾਈਲ</t>
  </si>
  <si>
    <t>मोबाइल</t>
  </si>
  <si>
    <t>WHATSAPP</t>
  </si>
  <si>
    <t>ਵਟਸਐਪ</t>
  </si>
  <si>
    <t>व्हाट्सएप</t>
  </si>
  <si>
    <t>ADDRESS</t>
  </si>
  <si>
    <t>ਪਤਾ</t>
  </si>
  <si>
    <t>पता</t>
  </si>
  <si>
    <t>PREF_FIT</t>
  </si>
  <si>
    <t>ਪਸੰਦੀਦਾ ਫਿੱਟ</t>
  </si>
  <si>
    <t>पसंदीदा फिट</t>
  </si>
  <si>
    <t>SOURCE</t>
  </si>
  <si>
    <t>ਸਰੋਤ</t>
  </si>
  <si>
    <t>स्रोत</t>
  </si>
  <si>
    <t>CITY</t>
  </si>
  <si>
    <t>ਸ਼ਹਿਰ</t>
  </si>
  <si>
    <t>शहर</t>
  </si>
  <si>
    <t>ALT_PHONE</t>
  </si>
  <si>
    <t>ਦੂਜਾ ਫ਼ੋਨ</t>
  </si>
  <si>
    <t>वैकल्पिक फ़ोन</t>
  </si>
  <si>
    <t>NOTES</t>
  </si>
  <si>
    <t>ਨੋਟਸ</t>
  </si>
  <si>
    <t>नोट्स</t>
  </si>
  <si>
    <t>CREATED_DATE</t>
  </si>
  <si>
    <t>ਬਣਾਈ ਮਿਤੀ</t>
  </si>
  <si>
    <t>बनाने की तारीख</t>
  </si>
  <si>
    <t>ACTIVE</t>
  </si>
  <si>
    <t>ਸਰਗਰਮ?</t>
  </si>
  <si>
    <t>सक्रिय?</t>
  </si>
  <si>
    <t>CUST_LOOKUP</t>
  </si>
  <si>
    <t>ਮੌਜੂਦਾ ਗਾਹਕ ਖੋਜ</t>
  </si>
  <si>
    <t>मौजूदा ग्राहक खोज</t>
  </si>
  <si>
    <t>ORDER_DETAILS</t>
  </si>
  <si>
    <t>ਆਰਡਰ ਵੇਰਵੇ</t>
  </si>
  <si>
    <t>ऑर्डर विवरण</t>
  </si>
  <si>
    <t>ORDER_ID</t>
  </si>
  <si>
    <t>ਆਰਡਰ ਆਈਡੀ</t>
  </si>
  <si>
    <t>ऑर्डर आईडी</t>
  </si>
  <si>
    <t>ORDER_NO</t>
  </si>
  <si>
    <t>ਆਰਡਰ ਨੰਬਰ</t>
  </si>
  <si>
    <t>ऑर्डर नंबर</t>
  </si>
  <si>
    <t>LINE_NO</t>
  </si>
  <si>
    <t>ਲਾਈਨ ਨੰਬਰ</t>
  </si>
  <si>
    <t>लाइन नंबर</t>
  </si>
  <si>
    <t>BOOK_DATE</t>
  </si>
  <si>
    <t>ਬੁਕਿੰਗ ਮਿਤੀ</t>
  </si>
  <si>
    <t>बुकिंग तारीख</t>
  </si>
  <si>
    <t>TRIAL_DATE</t>
  </si>
  <si>
    <t>ਟ੍ਰਾਇਲ ਮਿਤੀ</t>
  </si>
  <si>
    <t>ट्रायल तारीख</t>
  </si>
  <si>
    <t>DELIV_DATE</t>
  </si>
  <si>
    <t>ਡਿਲੀਵਰੀ ਮਿਤੀ</t>
  </si>
  <si>
    <t>डिलीवरी तारीख</t>
  </si>
  <si>
    <t>ITEM_TYPE</t>
  </si>
  <si>
    <t>ਆਈਟਮ ਕਿਸਮ</t>
  </si>
  <si>
    <t>आइटम प्रकार</t>
  </si>
  <si>
    <t>COLOUR</t>
  </si>
  <si>
    <t>ਰੰਗ</t>
  </si>
  <si>
    <t>रंग</t>
  </si>
  <si>
    <t>FABRIC</t>
  </si>
  <si>
    <t>ਕੱਪੜਾ/ਸਾਮੱਗਰੀ</t>
  </si>
  <si>
    <t>कपड़ा/सामग्री</t>
  </si>
  <si>
    <t>QTY</t>
  </si>
  <si>
    <t>ਮਾਤਰਾ</t>
  </si>
  <si>
    <t>मात्रा</t>
  </si>
  <si>
    <t>RATE</t>
  </si>
  <si>
    <t>ਦਰ</t>
  </si>
  <si>
    <t>दर</t>
  </si>
  <si>
    <t>AMOUNT</t>
  </si>
  <si>
    <t>ਰਕਮ</t>
  </si>
  <si>
    <t>राशि</t>
  </si>
  <si>
    <t>ADVANCE</t>
  </si>
  <si>
    <t>ਪੇਸ਼ਗੀ</t>
  </si>
  <si>
    <t>अग्रिम</t>
  </si>
  <si>
    <t>BALANCE</t>
  </si>
  <si>
    <t>ਬਾਕੀ</t>
  </si>
  <si>
    <t>शेष</t>
  </si>
  <si>
    <t>PAY_STATUS</t>
  </si>
  <si>
    <t>ਭੁਗਤਾਨ ਸਥਿਤੀ</t>
  </si>
  <si>
    <t>भुगतान स्थिति</t>
  </si>
  <si>
    <t>STATUS</t>
  </si>
  <si>
    <t>ਸਥਿਤੀ</t>
  </si>
  <si>
    <t>स्थिति</t>
  </si>
  <si>
    <t>PRIORITY</t>
  </si>
  <si>
    <t>ਤਰਜੀਹ</t>
  </si>
  <si>
    <t>प्राथमिकता</t>
  </si>
  <si>
    <t>STAFF</t>
  </si>
  <si>
    <t>ਨਿਯੁਕਤ ਸਟਾਫ</t>
  </si>
  <si>
    <t>नियुक्त स्टाफ</t>
  </si>
  <si>
    <t>MEAS</t>
  </si>
  <si>
    <t>ਮਾਪ</t>
  </si>
  <si>
    <t>माप</t>
  </si>
  <si>
    <t>CONTROLS</t>
  </si>
  <si>
    <t>ਕੰਟਰੋਲ</t>
  </si>
  <si>
    <t>कंट्रोल</t>
  </si>
  <si>
    <t>RESET</t>
  </si>
  <si>
    <t>ਫਾਰਮ ਰੀਸੈਟ</t>
  </si>
  <si>
    <t>फॉर्म रीसेट</t>
  </si>
  <si>
    <t>SUBMIT</t>
  </si>
  <si>
    <t>Submit Booking</t>
  </si>
  <si>
    <t>ਬੁਕਿੰਗ ਜਮ੍ਹਾਂ ਕਰੋ</t>
  </si>
  <si>
    <t>बुकिंग सबमिट करें</t>
  </si>
  <si>
    <t>SUBMIT_STATUS</t>
  </si>
  <si>
    <t>ਜਮ੍ਹਾਂ ਸਥਿਤੀ</t>
  </si>
  <si>
    <t>सबमिट स्थिति</t>
  </si>
  <si>
    <t>LAST_SAVED</t>
  </si>
  <si>
    <t>ਆਖਰੀ ਸੇਵ</t>
  </si>
  <si>
    <t>अंतिम सेव</t>
  </si>
  <si>
    <t>LANGUAGE</t>
  </si>
  <si>
    <t>Language</t>
  </si>
  <si>
    <t>ਭਾਸ਼ਾ</t>
  </si>
  <si>
    <t>भाषा</t>
  </si>
  <si>
    <t>Languages</t>
  </si>
  <si>
    <t>ਪੰਜਾਬੀ</t>
  </si>
  <si>
    <t>हिन्दी</t>
  </si>
  <si>
    <t>Customer Picker</t>
  </si>
  <si>
    <t>Walk-in</t>
  </si>
  <si>
    <t>LENGTH</t>
  </si>
  <si>
    <t>ਲੰਬਾਈ</t>
  </si>
  <si>
    <t>लंबाई</t>
  </si>
  <si>
    <t>CHEST</t>
  </si>
  <si>
    <t>ਛਾਤੀ</t>
  </si>
  <si>
    <t>छाती</t>
  </si>
  <si>
    <t>GAP</t>
  </si>
  <si>
    <t>ਗੈਪ</t>
  </si>
  <si>
    <t>गैप</t>
  </si>
  <si>
    <t>WAIST</t>
  </si>
  <si>
    <t>ਲੱਕ</t>
  </si>
  <si>
    <t>कमर</t>
  </si>
  <si>
    <t>HIPS</t>
  </si>
  <si>
    <t>ਕੁਲ੍ਹੇ</t>
  </si>
  <si>
    <t>कूल्हे</t>
  </si>
  <si>
    <t>SHOULDER</t>
  </si>
  <si>
    <t>ਮੋ੊ਾ</t>
  </si>
  <si>
    <t>कंधा</t>
  </si>
  <si>
    <t>SLEEVE</t>
  </si>
  <si>
    <t>ਬਾਹਂ</t>
  </si>
  <si>
    <t>आस्तीन</t>
  </si>
  <si>
    <t>BICEP</t>
  </si>
  <si>
    <t>ਡੌਲਾ</t>
  </si>
  <si>
    <t>बाइसेप</t>
  </si>
  <si>
    <t>COLLAR</t>
  </si>
  <si>
    <t>ਕਾਲਰ/ਗਰਦਨ</t>
  </si>
  <si>
    <t>कॉलर/गर्दन</t>
  </si>
  <si>
    <t>ORD-2026-0002-01</t>
  </si>
  <si>
    <t>MEAS-0003</t>
  </si>
  <si>
    <t>MEAS-0001</t>
  </si>
  <si>
    <t>MEAS-0002</t>
  </si>
  <si>
    <t>+919833445577</t>
  </si>
  <si>
    <t>+91785544234</t>
  </si>
  <si>
    <t>Sky Blue</t>
  </si>
  <si>
    <t>Pick Customer Mode → fill the form → click Submit. Existing customers: edits will update the master record.</t>
  </si>
  <si>
    <t>Pick Customer (ID — Name)</t>
  </si>
  <si>
    <t>Last Order ID</t>
  </si>
  <si>
    <t>Total Orders</t>
  </si>
  <si>
    <t>Live KPIs, pipeline by delivery date, and a status snapshot — all sourced from the Orders table.</t>
  </si>
  <si>
    <t>OPEN ORDERS</t>
  </si>
  <si>
    <t>OVERDUE</t>
  </si>
  <si>
    <t>DUE ≤ 7 DAYS</t>
  </si>
  <si>
    <t>READY</t>
  </si>
  <si>
    <t>OUTSTANDING</t>
  </si>
  <si>
    <t>Active garments</t>
  </si>
  <si>
    <t>Past delivery date</t>
  </si>
  <si>
    <t>Needs follow-up</t>
  </si>
  <si>
    <t>Awaiting pickup</t>
  </si>
  <si>
    <t>Delivery Pipeline</t>
  </si>
  <si>
    <t>Bucket</t>
  </si>
  <si>
    <t>Item</t>
  </si>
  <si>
    <t>Tip: Sort the Orders sheet by Delivery Date for full overdue list.</t>
  </si>
  <si>
    <t>TODAY</t>
  </si>
  <si>
    <t>THIS WEEK</t>
  </si>
  <si>
    <t>LATER</t>
  </si>
  <si>
    <t>Status Mix</t>
  </si>
  <si>
    <t>Amount (₹)</t>
  </si>
  <si>
    <t>Total</t>
  </si>
  <si>
    <t>Cottton</t>
  </si>
  <si>
    <t>Need it open</t>
  </si>
  <si>
    <t>My Address Gali No 5</t>
  </si>
  <si>
    <t>ORD-2026-0001-02</t>
  </si>
  <si>
    <t>Jasmeet Singh</t>
  </si>
  <si>
    <t>Comes regularly for Men's Sherwani</t>
  </si>
  <si>
    <t/>
  </si>
  <si>
    <t>9822557711</t>
  </si>
  <si>
    <t>Kirane Wale Gali</t>
  </si>
  <si>
    <t>Referral from Jasmeet</t>
  </si>
  <si>
    <t>Jaskiran Singh</t>
  </si>
  <si>
    <t>9833445577</t>
  </si>
  <si>
    <t>CUFF</t>
  </si>
  <si>
    <t>ਕਫ</t>
  </si>
  <si>
    <t>कफ</t>
  </si>
  <si>
    <t>ARMHOLE</t>
  </si>
  <si>
    <t>ਵਾਹ ਦਾ ਘੇਰਾ</t>
  </si>
  <si>
    <t>बांह घेरा</t>
  </si>
  <si>
    <t>CROSS_CHEST</t>
  </si>
  <si>
    <t>ਕ੍ਰਾਸ ਛਾਤੀ</t>
  </si>
  <si>
    <t>क्रॉस छाती</t>
  </si>
  <si>
    <t>FRONT_LENGTH</t>
  </si>
  <si>
    <t>ਅਗਲੀ ਲੰਬਾਈ</t>
  </si>
  <si>
    <t>अगली लंबाई</t>
  </si>
  <si>
    <t>BACK_LENGTH</t>
  </si>
  <si>
    <t>ਪਿਛਲੀ ਲੰਬਾਈ</t>
  </si>
  <si>
    <t>पिछली लंबाई</t>
  </si>
  <si>
    <t>PANT_WAIST</t>
  </si>
  <si>
    <t>ਪੈਂਟ ਲੱਕ</t>
  </si>
  <si>
    <t>पैंट कमर</t>
  </si>
  <si>
    <t>INSEAM</t>
  </si>
  <si>
    <t>ਅੰਦਰੂੰਨੀ ਸੀਵੋਂ</t>
  </si>
  <si>
    <t>अंदरूनी सीवन</t>
  </si>
  <si>
    <t>OUTSEAM</t>
  </si>
  <si>
    <t>ਬਾਹਰੀ ਸੀਵੋਂ</t>
  </si>
  <si>
    <t>बाह्य सीवन</t>
  </si>
  <si>
    <t>THIGH</t>
  </si>
  <si>
    <t>ਪੱਟ</t>
  </si>
  <si>
    <t>जांघ</t>
  </si>
  <si>
    <t>KNEE</t>
  </si>
  <si>
    <t>ਗੋਡਾ</t>
  </si>
  <si>
    <t>घुटना</t>
  </si>
  <si>
    <t>MOHRI</t>
  </si>
  <si>
    <t>ਮੋਹਰੀ</t>
  </si>
  <si>
    <t>मोहरी</t>
  </si>
  <si>
    <t>SEAT</t>
  </si>
  <si>
    <t>ਸੀਟ</t>
  </si>
  <si>
    <t>सीट</t>
  </si>
  <si>
    <t>RISE</t>
  </si>
  <si>
    <t>ਰਾਇਜ਼</t>
  </si>
  <si>
    <t>राइज़</t>
  </si>
  <si>
    <t>SKETCH</t>
  </si>
  <si>
    <t>ਸਕੈਚ/ਤਸਵੀਰ ਹਵਾਲਾ</t>
  </si>
  <si>
    <t>स्केच/चित्र संदर्भ</t>
  </si>
  <si>
    <t>ELBOW</t>
  </si>
  <si>
    <t>ਕੂਹਣੀ</t>
  </si>
  <si>
    <t>कोहनी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</si>
</sst>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\₹#,##0"/>
    <numFmt numFmtId="166" formatCode="dd\-mmm\-yyyy\ hh:mm"/>
  </numFmts>
  <fonts count="27">
    <font>
      <sz val="11"/>
      <name val="Carlito"/>
    </font>
    <font>
      <b/>
      <sz val="16"/>
      <color rgb="FFFFFFFF"/>
      <name val="Carlito"/>
    </font>
    <font>
      <i/>
      <sz val="11"/>
      <color rgb="FF374151"/>
      <name val="Carlito"/>
    </font>
    <font>
      <b/>
      <sz val="11"/>
      <color rgb="FFFFFFFF"/>
      <name val="Carlito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rgb="FFFFFFFF"/>
      <name val="Inter"/>
    </font>
    <font>
      <b/>
      <sz val="11"/>
      <color rgb="FFFFFFFF"/>
      <name val="Inter"/>
    </font>
    <font>
      <b/>
      <sz val="11"/>
      <color rgb="FF0F172A"/>
      <name val="Inter"/>
    </font>
    <font>
      <sz val="11"/>
      <color rgb="FF475569"/>
      <name val="Inter"/>
    </font>
    <font>
      <i/>
      <sz val="11"/>
      <color rgb="FF475569"/>
      <name val="Inter"/>
    </font>
    <font>
      <b/>
      <sz val="12"/>
      <color rgb="FFFFFFFF"/>
      <name val="Inter"/>
    </font>
    <font>
      <sz val="11"/>
      <name val="Inter"/>
    </font>
    <font>
      <b/>
      <sz val="11"/>
      <name val="Inter"/>
    </font>
    <font>
      <b/>
      <sz val="10"/>
      <color rgb="FF0F172A"/>
      <name val="Inter"/>
    </font>
    <font>
      <b/>
      <sz val="13"/>
      <color rgb="FFFFFFFF"/>
      <name val="Inter"/>
    </font>
    <font>
      <b/>
      <sz val="20"/>
      <color rgb="FFFFFFFF"/>
      <name val="Inter"/>
    </font>
    <font>
      <b/>
      <sz val="10"/>
      <color rgb="FFFFFFFF"/>
      <name val="Inter"/>
    </font>
    <font>
      <b/>
      <sz val="28"/>
      <color rgb="FF0EA5E9"/>
      <name val="Inter"/>
    </font>
    <font>
      <b/>
      <sz val="28"/>
      <color rgb="FFDC2626"/>
      <name val="Inter"/>
    </font>
    <font>
      <b/>
      <sz val="28"/>
      <color rgb="FFF59E0B"/>
      <name val="Inter"/>
    </font>
    <font>
      <b/>
      <sz val="28"/>
      <color rgb="FF16A34A"/>
      <name val="Inter"/>
    </font>
    <font>
      <b/>
      <sz val="22"/>
      <color rgb="FF7C3AED"/>
      <name val="Inter"/>
    </font>
    <font>
      <i/>
      <sz val="9"/>
      <color rgb="FF475569"/>
      <name val="Inter"/>
    </font>
    <font>
      <b/>
      <sz val="14"/>
      <color rgb="FFFFFFFF"/>
      <name val="Inter"/>
    </font>
    <font>
      <i/>
      <sz val="9"/>
      <color rgb="FF991B1B"/>
      <name val="Inter"/>
    </font>
    <font>
      <sz val="11"/>
      <color rgb="FF000000"/>
      <name val="Carlito"/>
    </font>
  </fonts>
  <fills count="23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0F766E"/>
      </patternFill>
    </fill>
    <fill>
      <patternFill patternType="solid">
        <fgColor rgb="FF0F766E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E0F2FE"/>
        <bgColor indexed="64"/>
      </patternFill>
    </fill>
    <fill>
      <patternFill patternType="solid">
        <fgColor rgb="FF16A34A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DE68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0EA5E9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7C3AED"/>
        <bgColor indexed="64"/>
      </patternFill>
    </fill>
    <fill>
      <patternFill patternType="solid">
        <fgColor rgb="FFF0F9FF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FAF5FF"/>
        <bgColor indexed="64"/>
      </patternFill>
    </fill>
    <fill>
      <patternFill patternType="solid">
        <fgColor rgb="FF475569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3" fillId="4" borderId="0" xfId="0" applyFont="1" applyFill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14" fontId="0" fillId="0" borderId="0" xfId="0" applyNumberFormat="1"/>
    <xf numFmtId="22" fontId="0" fillId="0" borderId="0" xfId="0" applyNumberFormat="1"/>
    <xf numFmtId="0" fontId="3" fillId="5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/>
    </xf>
    <xf numFmtId="0" fontId="0" fillId="5" borderId="0" xfId="0" applyFill="1"/>
    <xf numFmtId="0" fontId="0" fillId="9" borderId="0" xfId="0" applyFill="1"/>
    <xf numFmtId="0" fontId="0" fillId="10" borderId="0" xfId="0" applyFill="1"/>
    <xf numFmtId="3" fontId="0" fillId="0" borderId="0" xfId="0" applyNumberFormat="1"/>
    <xf numFmtId="0" fontId="6" fillId="5" borderId="0" xfId="0" applyFont="1" applyFill="1" applyAlignment="1">
      <alignment horizontal="left"/>
    </xf>
    <xf numFmtId="0" fontId="7" fillId="5" borderId="0" xfId="0" applyFont="1" applyFill="1" applyAlignment="1">
      <alignment horizontal="right"/>
    </xf>
    <xf numFmtId="0" fontId="8" fillId="11" borderId="0" xfId="0" applyFont="1" applyFill="1" applyAlignment="1">
      <alignment horizontal="center"/>
    </xf>
    <xf numFmtId="0" fontId="10" fillId="12" borderId="0" xfId="0" applyFont="1" applyFill="1"/>
    <xf numFmtId="0" fontId="0" fillId="12" borderId="0" xfId="0" applyFill="1"/>
    <xf numFmtId="0" fontId="11" fillId="5" borderId="0" xfId="0" applyFont="1" applyFill="1" applyAlignment="1">
      <alignment horizontal="left"/>
    </xf>
    <xf numFmtId="0" fontId="8" fillId="13" borderId="0" xfId="0" applyFont="1" applyFill="1" applyAlignment="1">
      <alignment horizontal="right"/>
    </xf>
    <xf numFmtId="0" fontId="12" fillId="0" borderId="0" xfId="0" applyFont="1"/>
    <xf numFmtId="0" fontId="13" fillId="6" borderId="0" xfId="0" applyFont="1" applyFill="1"/>
    <xf numFmtId="0" fontId="13" fillId="8" borderId="0" xfId="0" applyFont="1" applyFill="1"/>
    <xf numFmtId="0" fontId="9" fillId="14" borderId="0" xfId="0" applyFont="1" applyFill="1"/>
    <xf numFmtId="0" fontId="12" fillId="7" borderId="0" xfId="0" applyFont="1" applyFill="1"/>
    <xf numFmtId="0" fontId="9" fillId="14" borderId="0" xfId="0" applyFont="1" applyFill="1" applyAlignment="1">
      <alignment horizontal="left"/>
    </xf>
    <xf numFmtId="164" fontId="12" fillId="7" borderId="0" xfId="0" applyNumberFormat="1" applyFont="1" applyFill="1"/>
    <xf numFmtId="3" fontId="13" fillId="8" borderId="0" xfId="0" applyNumberFormat="1" applyFont="1" applyFill="1"/>
    <xf numFmtId="0" fontId="13" fillId="15" borderId="0" xfId="0" applyFont="1" applyFill="1"/>
    <xf numFmtId="164" fontId="13" fillId="15" borderId="0" xfId="0" applyNumberFormat="1" applyFont="1" applyFill="1"/>
    <xf numFmtId="3" fontId="13" fillId="15" borderId="0" xfId="0" applyNumberFormat="1" applyFont="1" applyFill="1"/>
    <xf numFmtId="165" fontId="12" fillId="7" borderId="0" xfId="0" applyNumberFormat="1" applyFont="1" applyFill="1"/>
    <xf numFmtId="165" fontId="13" fillId="8" borderId="0" xfId="0" applyNumberFormat="1" applyFont="1" applyFill="1"/>
    <xf numFmtId="0" fontId="13" fillId="7" borderId="0" xfId="0" applyFont="1" applyFill="1"/>
    <xf numFmtId="0" fontId="14" fillId="13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12" fillId="14" borderId="0" xfId="0" applyFont="1" applyFill="1"/>
    <xf numFmtId="166" fontId="12" fillId="14" borderId="0" xfId="0" applyNumberFormat="1" applyFont="1" applyFill="1"/>
    <xf numFmtId="0" fontId="16" fillId="5" borderId="0" xfId="0" applyFont="1" applyFill="1" applyAlignment="1">
      <alignment horizontal="left"/>
    </xf>
    <xf numFmtId="0" fontId="17" fillId="16" borderId="0" xfId="0" applyFont="1" applyFill="1" applyAlignment="1">
      <alignment horizontal="center"/>
    </xf>
    <xf numFmtId="0" fontId="0" fillId="16" borderId="0" xfId="0" applyFill="1"/>
    <xf numFmtId="0" fontId="17" fillId="10" borderId="0" xfId="0" applyFont="1" applyFill="1" applyAlignment="1">
      <alignment horizontal="center"/>
    </xf>
    <xf numFmtId="0" fontId="17" fillId="17" borderId="0" xfId="0" applyFont="1" applyFill="1" applyAlignment="1">
      <alignment horizontal="center"/>
    </xf>
    <xf numFmtId="0" fontId="0" fillId="17" borderId="0" xfId="0" applyFill="1"/>
    <xf numFmtId="0" fontId="17" fillId="9" borderId="0" xfId="0" applyFont="1" applyFill="1" applyAlignment="1">
      <alignment horizontal="center"/>
    </xf>
    <xf numFmtId="0" fontId="17" fillId="18" borderId="0" xfId="0" applyFont="1" applyFill="1" applyAlignment="1">
      <alignment horizontal="center"/>
    </xf>
    <xf numFmtId="0" fontId="0" fillId="18" borderId="0" xfId="0" applyFill="1"/>
    <xf numFmtId="0" fontId="18" fillId="19" borderId="0" xfId="0" applyFont="1" applyFill="1" applyAlignment="1">
      <alignment horizontal="center"/>
    </xf>
    <xf numFmtId="0" fontId="0" fillId="19" borderId="0" xfId="0" applyFill="1"/>
    <xf numFmtId="0" fontId="19" fillId="15" borderId="0" xfId="0" applyFont="1" applyFill="1" applyAlignment="1">
      <alignment horizontal="center"/>
    </xf>
    <xf numFmtId="0" fontId="0" fillId="15" borderId="0" xfId="0" applyFill="1"/>
    <xf numFmtId="0" fontId="20" fillId="7" borderId="0" xfId="0" applyFont="1" applyFill="1" applyAlignment="1">
      <alignment horizontal="center"/>
    </xf>
    <xf numFmtId="0" fontId="0" fillId="7" borderId="0" xfId="0" applyFill="1"/>
    <xf numFmtId="0" fontId="21" fillId="20" borderId="0" xfId="0" applyFont="1" applyFill="1" applyAlignment="1">
      <alignment horizontal="center"/>
    </xf>
    <xf numFmtId="0" fontId="0" fillId="20" borderId="0" xfId="0" applyFill="1"/>
    <xf numFmtId="165" fontId="22" fillId="21" borderId="0" xfId="0" applyNumberFormat="1" applyFont="1" applyFill="1" applyAlignment="1">
      <alignment horizontal="center"/>
    </xf>
    <xf numFmtId="0" fontId="0" fillId="21" borderId="0" xfId="0" applyFill="1"/>
    <xf numFmtId="0" fontId="23" fillId="19" borderId="0" xfId="0" applyFont="1" applyFill="1" applyAlignment="1">
      <alignment horizontal="center"/>
    </xf>
    <xf numFmtId="0" fontId="23" fillId="15" borderId="0" xfId="0" applyFont="1" applyFill="1" applyAlignment="1">
      <alignment horizontal="center"/>
    </xf>
    <xf numFmtId="0" fontId="23" fillId="7" borderId="0" xfId="0" applyFont="1" applyFill="1" applyAlignment="1">
      <alignment horizontal="center"/>
    </xf>
    <xf numFmtId="0" fontId="23" fillId="20" borderId="0" xfId="0" applyFont="1" applyFill="1" applyAlignment="1">
      <alignment horizontal="center"/>
    </xf>
    <xf numFmtId="0" fontId="23" fillId="21" borderId="0" xfId="0" applyFont="1" applyFill="1" applyAlignment="1">
      <alignment horizontal="center"/>
    </xf>
    <xf numFmtId="0" fontId="24" fillId="5" borderId="0" xfId="0" applyFont="1" applyFill="1" applyAlignment="1">
      <alignment horizontal="left"/>
    </xf>
    <xf numFmtId="0" fontId="7" fillId="22" borderId="0" xfId="0" applyFont="1" applyFill="1" applyAlignment="1">
      <alignment horizontal="center"/>
    </xf>
    <xf numFmtId="0" fontId="7" fillId="22" borderId="0" xfId="0" applyFont="1" applyFill="1" applyAlignment="1">
      <alignment horizontal="left"/>
    </xf>
    <xf numFmtId="0" fontId="7" fillId="22" borderId="0" xfId="0" applyFont="1" applyFill="1" applyAlignment="1">
      <alignment horizontal="right"/>
    </xf>
    <xf numFmtId="0" fontId="7" fillId="10" borderId="0" xfId="0" applyFont="1" applyFill="1" applyAlignment="1">
      <alignment horizontal="center"/>
    </xf>
    <xf numFmtId="0" fontId="12" fillId="15" borderId="0" xfId="0" applyFont="1" applyFill="1"/>
    <xf numFmtId="0" fontId="12" fillId="15" borderId="0" xfId="0" applyFont="1" applyFill="1" applyAlignment="1">
      <alignment horizontal="center"/>
    </xf>
    <xf numFmtId="164" fontId="12" fillId="15" borderId="0" xfId="0" applyNumberFormat="1" applyFont="1" applyFill="1" applyAlignment="1">
      <alignment horizontal="center"/>
    </xf>
    <xf numFmtId="165" fontId="12" fillId="15" borderId="0" xfId="0" applyNumberFormat="1" applyFont="1" applyFill="1" applyAlignment="1">
      <alignment horizontal="right"/>
    </xf>
    <xf numFmtId="0" fontId="25" fillId="15" borderId="0" xfId="0" applyFont="1" applyFill="1"/>
    <xf numFmtId="0" fontId="7" fillId="17" borderId="0" xfId="0" applyFont="1" applyFill="1" applyAlignment="1">
      <alignment horizontal="center"/>
    </xf>
    <xf numFmtId="164" fontId="12" fillId="7" borderId="0" xfId="0" applyNumberFormat="1" applyFont="1" applyFill="1" applyAlignment="1">
      <alignment horizontal="center"/>
    </xf>
    <xf numFmtId="165" fontId="12" fillId="7" borderId="0" xfId="0" applyNumberFormat="1" applyFont="1" applyFill="1" applyAlignment="1">
      <alignment horizontal="right"/>
    </xf>
    <xf numFmtId="0" fontId="7" fillId="16" borderId="0" xfId="0" applyFont="1" applyFill="1" applyAlignment="1">
      <alignment horizontal="center"/>
    </xf>
    <xf numFmtId="0" fontId="12" fillId="19" borderId="0" xfId="0" applyFont="1" applyFill="1"/>
    <xf numFmtId="0" fontId="12" fillId="19" borderId="0" xfId="0" applyFont="1" applyFill="1" applyAlignment="1">
      <alignment horizontal="center"/>
    </xf>
    <xf numFmtId="164" fontId="12" fillId="19" borderId="0" xfId="0" applyNumberFormat="1" applyFont="1" applyFill="1" applyAlignment="1">
      <alignment horizontal="center"/>
    </xf>
    <xf numFmtId="165" fontId="12" fillId="19" borderId="0" xfId="0" applyNumberFormat="1" applyFont="1" applyFill="1" applyAlignment="1">
      <alignment horizontal="right"/>
    </xf>
    <xf numFmtId="0" fontId="7" fillId="9" borderId="0" xfId="0" applyFont="1" applyFill="1" applyAlignment="1">
      <alignment horizontal="center"/>
    </xf>
    <xf numFmtId="0" fontId="12" fillId="20" borderId="0" xfId="0" applyFont="1" applyFill="1"/>
    <xf numFmtId="0" fontId="12" fillId="20" borderId="0" xfId="0" applyFont="1" applyFill="1" applyAlignment="1">
      <alignment horizontal="center"/>
    </xf>
    <xf numFmtId="164" fontId="12" fillId="20" borderId="0" xfId="0" applyNumberFormat="1" applyFont="1" applyFill="1" applyAlignment="1">
      <alignment horizontal="center"/>
    </xf>
    <xf numFmtId="165" fontId="12" fillId="20" borderId="0" xfId="0" applyNumberFormat="1" applyFont="1" applyFill="1" applyAlignment="1">
      <alignment horizontal="right"/>
    </xf>
    <xf numFmtId="0" fontId="12" fillId="0" borderId="0" xfId="0" applyFont="1" applyAlignment="1">
      <alignment horizontal="right"/>
    </xf>
    <xf numFmtId="165" fontId="12" fillId="0" borderId="0" xfId="0" applyNumberFormat="1" applyFont="1" applyAlignment="1">
      <alignment horizontal="right"/>
    </xf>
    <xf numFmtId="0" fontId="13" fillId="13" borderId="0" xfId="0" applyFont="1" applyFill="1"/>
    <xf numFmtId="0" fontId="13" fillId="13" borderId="0" xfId="0" applyFont="1" applyFill="1" applyAlignment="1">
      <alignment horizontal="right"/>
    </xf>
    <xf numFmtId="165" fontId="13" fillId="13" borderId="0" xfId="0" applyNumberFormat="1" applyFont="1" applyFill="1" applyAlignment="1">
      <alignment horizontal="right"/>
    </xf>
    <xf numFmtId="49" fontId="3" fillId="4" borderId="0" xfId="0" applyNumberFormat="1" applyFont="1" applyFill="1" applyAlignment="1">
      <alignment horizontal="center" vertical="center" wrapText="1"/>
    </xf>
    <xf numFmtId="49" fontId="0" fillId="0" borderId="0" xfId="0" quotePrefix="1" applyNumberFormat="1"/>
    <xf numFmtId="49" fontId="0" fillId="0" borderId="0" xfId="0" applyNumberFormat="1"/>
    <xf numFmtId="49" fontId="12" fillId="7" borderId="0" xfId="0" quotePrefix="1" applyNumberFormat="1" applyFont="1" applyFill="1"/>
    <xf numFmtId="0" fontId="17" fillId="22" borderId="0" xfId="0" applyFont="1" applyFill="1" applyAlignment="1">
      <alignment horizontal="center"/>
    </xf>
    <xf numFmtId="0" fontId="17" fillId="22" borderId="0" xfId="0" applyFont="1" applyFill="1" applyAlignment="1">
      <alignment horizontal="center"/>
    </xf>
    <xf numFmtId="0" fontId="12" fillId="7" borderId="0" xfId="0" applyFont="1" applyFill="1"/>
    <xf numFmtId="0" fontId="15" fillId="9" borderId="0" xfId="0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0" fontId="0" fillId="0" borderId="1" xfId="0" applyBorder="1"/>
    <xf numFmtId="0" fontId="1" fillId="2" borderId="0" xfId="0" applyFont="1" applyFill="1" applyAlignment="1">
      <alignment horizontal="left" vertical="top"/>
    </xf>
    <xf numFmtId="0" fontId="2" fillId="3" borderId="0" xfId="0" applyFont="1" applyFill="1" applyAlignment="1">
      <alignment wrapText="1"/>
    </xf>
  </cellXfs>
  <cellStyles count="1">
    <cellStyle name="Normal" xfId="0" builtinId="0"/>
  </cellStyles>
  <dxfs count="7">
    <dxf>
      <numFmt numFmtId="30" formatCode="@"/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ont>
        <b/>
        <color rgb="FF991B1B"/>
      </font>
      <fill>
        <patternFill>
          <bgColor rgb="FFFEE2E2"/>
        </patternFill>
      </fill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Inter"/>
                <a:ea typeface="Inter"/>
                <a:cs typeface="Inter"/>
              </a:defRPr>
            </a:pPr>
            <a:r>
              <a:rPr lang="en-US"/>
              <a:t>Order count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Inter"/>
              <a:ea typeface="Inter"/>
              <a:cs typeface="Inter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Dashboard!$B$17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Dashboard!$A$18:$A$25</c:f>
              <c:strCache>
                <c:ptCount val="8"/>
                <c:pt idx="0">
                  <c:v>Booked</c:v>
                </c:pt>
                <c:pt idx="1">
                  <c:v>Cutting</c:v>
                </c:pt>
                <c:pt idx="2">
                  <c:v>Stitching</c:v>
                </c:pt>
                <c:pt idx="3">
                  <c:v>Trial Pending</c:v>
                </c:pt>
                <c:pt idx="4">
                  <c:v>Alteration</c:v>
                </c:pt>
                <c:pt idx="5">
                  <c:v>Ready</c:v>
                </c:pt>
                <c:pt idx="6">
                  <c:v>Delivered</c:v>
                </c:pt>
                <c:pt idx="7">
                  <c:v>Cancelled</c:v>
                </c:pt>
              </c:strCache>
            </c:strRef>
          </c:cat>
          <c:val>
            <c:numRef>
              <c:f>Dashboard!$B$18:$B$25</c:f>
              <c:numCache>
                <c:formatCode>General</c:formatCode>
                <c:ptCount val="8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6-4F27-9C27-DFFB72936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10631327"/>
        <c:axId val="910627007"/>
      </c:barChart>
      <c:catAx>
        <c:axId val="910631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27007"/>
        <c:crosses val="autoZero"/>
        <c:auto val="1"/>
        <c:lblAlgn val="ctr"/>
        <c:lblOffset val="100"/>
        <c:noMultiLvlLbl val="0"/>
      </c:catAx>
      <c:valAx>
        <c:axId val="910627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31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07A5C7-EF27-3295-FC0A-A677822CD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19</xdr:row>
          <xdr:rowOff>15240</xdr:rowOff>
        </xdr:from>
        <xdr:to>
          <xdr:col>8</xdr:col>
          <xdr:colOff>685800</xdr:colOff>
          <xdr:row>22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rlito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14</xdr:row>
          <xdr:rowOff>167640</xdr:rowOff>
        </xdr:from>
        <xdr:to>
          <xdr:col>8</xdr:col>
          <xdr:colOff>701040</xdr:colOff>
          <xdr:row>17</xdr:row>
          <xdr:rowOff>243840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rlito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37</xdr:row>
          <xdr:rowOff>312420</xdr:rowOff>
        </xdr:from>
        <xdr:to>
          <xdr:col>2</xdr:col>
          <xdr:colOff>7620</xdr:colOff>
          <xdr:row>39</xdr:row>
          <xdr:rowOff>137160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rlito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37</xdr:row>
          <xdr:rowOff>304800</xdr:rowOff>
        </xdr:from>
        <xdr:to>
          <xdr:col>4</xdr:col>
          <xdr:colOff>68580</xdr:colOff>
          <xdr:row>39</xdr:row>
          <xdr:rowOff>144780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rlito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ustomersTable" displayName="CustomersTable" ref="A4:K6">
  <tableColumns count="11">
    <tableColumn id="1" xr3:uid="{00000000-0010-0000-0100-000001000000}" name="Customer ID"/>
    <tableColumn id="2" xr3:uid="{00000000-0010-0000-0100-000002000000}" name="Customer Name"/>
    <tableColumn id="3" xr3:uid="{00000000-0010-0000-0100-000003000000}" name="Mobile" dataDxfId="6"/>
    <tableColumn id="4" xr3:uid="{00000000-0010-0000-0100-000004000000}" name="Alternate Phone" dataDxfId="5"/>
    <tableColumn id="5" xr3:uid="{00000000-0010-0000-0100-000005000000}" name="WhatsApp"/>
    <tableColumn id="6" xr3:uid="{00000000-0010-0000-0100-000006000000}" name="Address"/>
    <tableColumn id="7" xr3:uid="{00000000-0010-0000-0100-000007000000}" name="City"/>
    <tableColumn id="8" xr3:uid="{00000000-0010-0000-0100-000008000000}" name="Preferred Fit"/>
    <tableColumn id="9" xr3:uid="{00000000-0010-0000-0100-000009000000}" name="Notes"/>
    <tableColumn id="10" xr3:uid="{00000000-0010-0000-0100-00000A000000}" name="Created Date"/>
    <tableColumn id="11" xr3:uid="{00000000-0010-0000-0100-00000B000000}" name="Active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OrdersTable" displayName="OrdersTable" ref="A4:U7">
  <tableColumns count="21">
    <tableColumn id="1" xr3:uid="{00000000-0010-0000-0200-000001000000}" name="Order ID"/>
    <tableColumn id="2" xr3:uid="{00000000-0010-0000-0200-000002000000}" name="Order No"/>
    <tableColumn id="3" xr3:uid="{00000000-0010-0000-0200-000003000000}" name="Line No"/>
    <tableColumn id="4" xr3:uid="{00000000-0010-0000-0200-000004000000}" name="Customer ID"/>
    <tableColumn id="5" xr3:uid="{00000000-0010-0000-0200-000005000000}" name="Customer Name"/>
    <tableColumn id="6" xr3:uid="{00000000-0010-0000-0200-000006000000}" name="Mobile" dataDxfId="0"/>
    <tableColumn id="7" xr3:uid="{00000000-0010-0000-0200-000007000000}" name="Booking Date"/>
    <tableColumn id="8" xr3:uid="{00000000-0010-0000-0200-000008000000}" name="Trial Date"/>
    <tableColumn id="9" xr3:uid="{00000000-0010-0000-0200-000009000000}" name="Delivery Date"/>
    <tableColumn id="10" xr3:uid="{00000000-0010-0000-0200-00000A000000}" name="Days Left">
      <calculatedColumnFormula>OrdersTable[[#This Row],[Delivery Date]]-TODAY()</calculatedColumnFormula>
    </tableColumn>
    <tableColumn id="11" xr3:uid="{00000000-0010-0000-0200-00000B000000}" name="Overdue?">
      <calculatedColumnFormula>IF(AND(OrdersTable[[#This Row],[Delivery Date]]&lt;&gt;"",OrdersTable[[#This Row],[Delivery Date]]&lt;TODAY(),OrdersTable[[#This Row],[Status]]&lt;&gt;"Delivered",OrdersTable[[#This Row],[Status]]&lt;&gt;"Cancelled"),"YES","")</calculatedColumnFormula>
    </tableColumn>
    <tableColumn id="12" xr3:uid="{00000000-0010-0000-0200-00000C000000}" name="Item Type"/>
    <tableColumn id="13" xr3:uid="{00000000-0010-0000-0200-00000D000000}" name="Colour"/>
    <tableColumn id="14" xr3:uid="{00000000-0010-0000-0200-00000E000000}" name="Fabric/Material"/>
    <tableColumn id="15" xr3:uid="{00000000-0010-0000-0200-00000F000000}" name="Qty"/>
    <tableColumn id="16" xr3:uid="{00000000-0010-0000-0200-000010000000}" name="Rate"/>
    <tableColumn id="17" xr3:uid="{00000000-0010-0000-0200-000011000000}" name="Amount">
      <calculatedColumnFormula>IFERROR(OrdersTable[[#This Row],[Qty]]*OrdersTable[[#This Row],[Rate]],0)</calculatedColumnFormula>
    </tableColumn>
    <tableColumn id="18" xr3:uid="{00000000-0010-0000-0200-000012000000}" name="Advance"/>
    <tableColumn id="19" xr3:uid="{00000000-0010-0000-0200-000013000000}" name="Balance">
      <calculatedColumnFormula>OrdersTable[[#This Row],[Amount]]-OrdersTable[[#This Row],[Advance]]</calculatedColumnFormula>
    </tableColumn>
    <tableColumn id="20" xr3:uid="{00000000-0010-0000-0200-000014000000}" name="Payment Status">
      <calculatedColumnFormula>IF(OrdersTable[[#This Row],[Amount]]=0,"Unpaid",IF(OrdersTable[[#This Row],[Balance]]&lt;=0,"Paid",IF(OrdersTable[[#This Row],[Advance]]&gt;0,"Part Paid","Unpaid")))</calculatedColumnFormula>
    </tableColumn>
    <tableColumn id="21" xr3:uid="{00000000-0010-0000-0200-000015000000}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easurementsTable" displayName="MeasurementsTable" ref="A4:AF7">
  <tableColumns count="32">
    <tableColumn id="1" xr3:uid="{00000000-0010-0000-0300-000001000000}" name="Measurement ID"/>
    <tableColumn id="2" xr3:uid="{00000000-0010-0000-0300-000002000000}" name="Order ID"/>
    <tableColumn id="3" xr3:uid="{00000000-0010-0000-0300-000003000000}" name="Customer ID"/>
    <tableColumn id="4" xr3:uid="{00000000-0010-0000-0300-000004000000}" name="Customer Name"/>
    <tableColumn id="5" xr3:uid="{00000000-0010-0000-0300-000005000000}" name="Item Type"/>
    <tableColumn id="6" xr3:uid="{00000000-0010-0000-0300-000006000000}" name="Fit"/>
    <tableColumn id="7" xr3:uid="{00000000-0010-0000-0300-000007000000}" name="Length"/>
    <tableColumn id="8" xr3:uid="{00000000-0010-0000-0300-000008000000}" name="Chest"/>
    <tableColumn id="9" xr3:uid="{00000000-0010-0000-0300-000009000000}" name="Gap"/>
    <tableColumn id="10" xr3:uid="{00000000-0010-0000-0300-00000A000000}" name="Waist"/>
    <tableColumn id="11" xr3:uid="{00000000-0010-0000-0300-00000B000000}" name="Hips"/>
    <tableColumn id="12" xr3:uid="{00000000-0010-0000-0300-00000C000000}" name="Shoulder"/>
    <tableColumn id="13" xr3:uid="{00000000-0010-0000-0300-00000D000000}" name="Sleeve"/>
    <tableColumn id="14" xr3:uid="{00000000-0010-0000-0300-00000E000000}" name="Bicep"/>
    <tableColumn id="15" xr3:uid="{00000000-0010-0000-0300-00000F000000}" name="Elbow"/>
    <tableColumn id="16" xr3:uid="{00000000-0010-0000-0300-000010000000}" name="Collar/Neck"/>
    <tableColumn id="17" xr3:uid="{00000000-0010-0000-0300-000011000000}" name="Cuff"/>
    <tableColumn id="18" xr3:uid="{00000000-0010-0000-0300-000012000000}" name="Armhole"/>
    <tableColumn id="19" xr3:uid="{00000000-0010-0000-0300-000013000000}" name="Cross Chest"/>
    <tableColumn id="20" xr3:uid="{00000000-0010-0000-0300-000014000000}" name="Front Length"/>
    <tableColumn id="21" xr3:uid="{00000000-0010-0000-0300-000015000000}" name="Back Length"/>
    <tableColumn id="22" xr3:uid="{00000000-0010-0000-0300-000016000000}" name="Pant Waist"/>
    <tableColumn id="23" xr3:uid="{00000000-0010-0000-0300-000017000000}" name="Inseam"/>
    <tableColumn id="24" xr3:uid="{00000000-0010-0000-0300-000018000000}" name="Outseam"/>
    <tableColumn id="25" xr3:uid="{00000000-0010-0000-0300-000019000000}" name="Thigh"/>
    <tableColumn id="26" xr3:uid="{00000000-0010-0000-0300-00001A000000}" name="Knee"/>
    <tableColumn id="27" xr3:uid="{00000000-0010-0000-0300-00001B000000}" name="Bottom/Mohri"/>
    <tableColumn id="28" xr3:uid="{00000000-0010-0000-0300-00001C000000}" name="Seat"/>
    <tableColumn id="29" xr3:uid="{00000000-0010-0000-0300-00001D000000}" name="Rise"/>
    <tableColumn id="30" xr3:uid="{00000000-0010-0000-0300-00001E000000}" name="Notes"/>
    <tableColumn id="31" xr3:uid="{00000000-0010-0000-0300-00001F000000}" name="Sketch/Image Ref"/>
    <tableColumn id="32" xr3:uid="{00000000-0010-0000-0300-000020000000}" name="Last Upda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RPLayoutTable" displayName="ERPLayoutTable" ref="A4:K12">
  <tableColumns count="11">
    <tableColumn id="1" xr3:uid="{00000000-0010-0000-0400-000001000000}" name="Module"/>
    <tableColumn id="2" xr3:uid="{00000000-0010-0000-0400-000002000000}" name="Users"/>
    <tableColumn id="3" xr3:uid="{00000000-0010-0000-0400-000003000000}" name="Core Screens"/>
    <tableColumn id="4" xr3:uid="{00000000-0010-0000-0400-000004000000}" name="Key Data"/>
    <tableColumn id="5" xr3:uid="{00000000-0010-0000-0400-000005000000}" name="Automation"/>
    <tableColumn id="6" xr3:uid="{00000000-0010-0000-0400-000006000000}" name="Reports"/>
    <tableColumn id="7" xr3:uid="{00000000-0010-0000-0400-000007000000}" name="Priority"/>
    <tableColumn id="8" xr3:uid="{00000000-0010-0000-0400-000008000000}" name="Future App Table"/>
    <tableColumn id="9" xr3:uid="{00000000-0010-0000-0400-000009000000}" name="Notes"/>
    <tableColumn id="10" xr3:uid="{00000000-0010-0000-0400-00000A000000}" name="Integration"/>
    <tableColumn id="11" xr3:uid="{00000000-0010-0000-0400-00000B000000}" name="Risk Contr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9ABD9CA-5F12-4524-8C63-0D0F6D42493C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666cdee-fa30-423c-86f2-f2f491621f9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100"/>
  <sheetViews>
    <sheetView workbookViewId="0"/>
  </sheetViews>
  <sheetFormatPr defaultRowHeight="13.8"/>
  <cols>
    <col min="1" max="1" width="18.296875" customWidth="1"/>
    <col min="2" max="4" width="21.69921875" customWidth="1"/>
    <col min="5" max="8" width="18.296875" customWidth="1"/>
    <col min="9" max="10" width="21.69921875" customWidth="1"/>
    <col min="11" max="11" width="14" customWidth="1"/>
  </cols>
  <sheetData>
    <row r="1" spans="1:32" ht="36" customHeight="1">
      <c r="A1" s="39" t="s">
        <v>98</v>
      </c>
      <c r="B1" s="9"/>
      <c r="C1" s="9"/>
      <c r="D1" s="9"/>
      <c r="E1" s="9"/>
      <c r="F1" s="9"/>
      <c r="G1" s="9"/>
      <c r="H1" s="9"/>
      <c r="I1" s="9"/>
      <c r="J1" s="14" t="str">
        <f ca="1">"Updated: "&amp;TEXT(TODAY(),"dd mmm yyyy")</f>
        <v>Updated: 27 May 2026</v>
      </c>
      <c r="AA1" s="4"/>
      <c r="AB1" s="4"/>
      <c r="AC1" s="4"/>
      <c r="AD1" s="4"/>
      <c r="AE1" s="4"/>
      <c r="AF1" s="4"/>
    </row>
    <row r="2" spans="1:32" ht="27.15" customHeight="1">
      <c r="A2" s="16" t="s">
        <v>392</v>
      </c>
      <c r="B2" s="17"/>
      <c r="C2" s="17"/>
      <c r="D2" s="17"/>
      <c r="E2" s="17"/>
      <c r="F2" s="17"/>
      <c r="G2" s="17"/>
      <c r="H2" s="17"/>
      <c r="I2" s="17"/>
      <c r="J2" s="17"/>
    </row>
    <row r="4" spans="1:32" ht="22.05" customHeight="1">
      <c r="A4" s="40" t="s">
        <v>393</v>
      </c>
      <c r="B4" s="41"/>
      <c r="C4" s="42" t="s">
        <v>394</v>
      </c>
      <c r="D4" s="11"/>
      <c r="E4" s="43" t="s">
        <v>395</v>
      </c>
      <c r="F4" s="44"/>
      <c r="G4" s="45" t="s">
        <v>396</v>
      </c>
      <c r="H4" s="10"/>
      <c r="I4" s="46" t="s">
        <v>397</v>
      </c>
      <c r="J4" s="47"/>
    </row>
    <row r="5" spans="1:32" ht="52.05" customHeight="1">
      <c r="A5" s="48">
        <f>COUNTIFS(OrdersTable[Status],"&lt;&gt;Delivered",OrdersTable[Status],"&lt;&gt;Cancelled",OrdersTable[Order ID],"&lt;&gt;")</f>
        <v>3</v>
      </c>
      <c r="B5" s="49"/>
      <c r="C5" s="50">
        <f ca="1">COUNTIFS(OrdersTable[Overdue?],"YES")</f>
        <v>0</v>
      </c>
      <c r="D5" s="51"/>
      <c r="E5" s="52" cm="1">
        <f t="array" aca="1" ref="E5" ca="1">SUMPRODUCT((OrdersTable[Delivery Date]&gt;=TODAY())*(OrdersTable[Delivery Date]&lt;=TODAY()+7)*(OrdersTable[Status]&lt;&gt;"Delivered")*(OrdersTable[Status]&lt;&gt;"Cancelled")*(OrdersTable[Order ID]&lt;&gt;""))</f>
        <v>0</v>
      </c>
      <c r="F5" s="53"/>
      <c r="G5" s="54">
        <f>COUNTIFS(OrdersTable[Status],"Ready")</f>
        <v>0</v>
      </c>
      <c r="H5" s="55"/>
      <c r="I5" s="56">
        <f>SUM(OrdersTable[Balance])</f>
        <v>196000</v>
      </c>
      <c r="J5" s="57"/>
    </row>
    <row r="6" spans="1:32" ht="18" customHeight="1">
      <c r="A6" s="58" t="s">
        <v>398</v>
      </c>
      <c r="B6" s="49"/>
      <c r="C6" s="59" t="s">
        <v>399</v>
      </c>
      <c r="D6" s="51"/>
      <c r="E6" s="60" t="s">
        <v>400</v>
      </c>
      <c r="F6" s="53"/>
      <c r="G6" s="61" t="s">
        <v>401</v>
      </c>
      <c r="H6" s="55"/>
      <c r="I6" s="62" t="s">
        <v>104</v>
      </c>
      <c r="J6" s="57"/>
    </row>
    <row r="8" spans="1:32" ht="17.399999999999999">
      <c r="A8" s="63" t="s">
        <v>402</v>
      </c>
      <c r="B8" s="9"/>
      <c r="C8" s="9"/>
      <c r="D8" s="9"/>
      <c r="E8" s="9"/>
      <c r="F8" s="9"/>
    </row>
    <row r="9" spans="1:32">
      <c r="A9" s="64" t="s">
        <v>403</v>
      </c>
      <c r="B9" s="65" t="s">
        <v>33</v>
      </c>
      <c r="C9" s="65" t="s">
        <v>100</v>
      </c>
      <c r="D9" s="65" t="s">
        <v>404</v>
      </c>
      <c r="E9" s="64" t="s">
        <v>43</v>
      </c>
      <c r="F9" s="64" t="s">
        <v>1</v>
      </c>
      <c r="G9" s="66" t="s">
        <v>42</v>
      </c>
    </row>
    <row r="10" spans="1:32">
      <c r="A10" s="67" t="s">
        <v>394</v>
      </c>
      <c r="B10" s="68" t="str" cm="1">
        <f t="array" aca="1" ref="B10" ca="1">IFERROR(INDEX(OrdersTable[Order ID],MATCH(1,(OrdersTable[Overdue?]="YES")*1,0)),"—")</f>
        <v>—</v>
      </c>
      <c r="C10" s="68" t="str" cm="1">
        <f t="array" aca="1" ref="C10" ca="1">IFERROR(INDEX(OrdersTable[Customer Name],MATCH(1,(OrdersTable[Overdue?]="YES")*1,0)),"—")</f>
        <v>—</v>
      </c>
      <c r="D10" s="68" t="str" cm="1">
        <f t="array" aca="1" ref="D10" ca="1">IFERROR(INDEX(OrdersTable[Item Type],MATCH(1,(OrdersTable[Overdue?]="YES")*1,0)),"—")</f>
        <v>—</v>
      </c>
      <c r="E10" s="70" t="str" cm="1">
        <f t="array" aca="1" ref="E10" ca="1">IFERROR(INDEX(OrdersTable[Delivery Date],MATCH(1,(OrdersTable[Overdue?]="YES")*1,0)),"—")</f>
        <v>—</v>
      </c>
      <c r="F10" s="69" t="str" cm="1">
        <f t="array" aca="1" ref="F10" ca="1">IFERROR(INDEX(OrdersTable[Status],MATCH(1,(OrdersTable[Overdue?]="YES")*1,0)),"—")</f>
        <v>—</v>
      </c>
      <c r="G10" s="71" cm="1">
        <f t="array" aca="1" ref="G10" ca="1">IFERROR(INDEX(OrdersTable[Balance],MATCH(1,(OrdersTable[Overdue?]="YES")*1,0)),0)</f>
        <v>0</v>
      </c>
    </row>
    <row r="11" spans="1:32">
      <c r="A11" s="72" t="s">
        <v>405</v>
      </c>
      <c r="B11" s="51"/>
      <c r="C11" s="51"/>
      <c r="D11" s="51"/>
      <c r="E11" s="51"/>
      <c r="F11" s="51"/>
      <c r="G11" s="51"/>
    </row>
    <row r="12" spans="1:32">
      <c r="A12" s="73" t="s">
        <v>406</v>
      </c>
      <c r="B12" s="24" t="str" cm="1">
        <f t="array" aca="1" ref="B12" ca="1">IFERROR(INDEX(OrdersTable[Order ID],MATCH(1,(OrdersTable[Delivery Date]=TODAY())*(OrdersTable[Status]&lt;&gt;"Delivered")*(OrdersTable[Status]&lt;&gt;"Cancelled"),0)),"—")</f>
        <v>—</v>
      </c>
      <c r="C12" s="24" t="str" cm="1">
        <f t="array" aca="1" ref="C12" ca="1">IFERROR(INDEX(OrdersTable[Customer Name],MATCH(1,(OrdersTable[Delivery Date]=TODAY())*(OrdersTable[Status]&lt;&gt;"Delivered")*(OrdersTable[Status]&lt;&gt;"Cancelled"),0)),"—")</f>
        <v>—</v>
      </c>
      <c r="D12" s="24" t="str" cm="1">
        <f t="array" aca="1" ref="D12" ca="1">IFERROR(INDEX(OrdersTable[Item Type],MATCH(1,(OrdersTable[Delivery Date]=TODAY())*(OrdersTable[Status]&lt;&gt;"Delivered")*(OrdersTable[Status]&lt;&gt;"Cancelled"),0)),"—")</f>
        <v>—</v>
      </c>
      <c r="E12" s="74" t="str" cm="1">
        <f t="array" aca="1" ref="E12" ca="1">IFERROR(INDEX(OrdersTable[Delivery Date],MATCH(1,(OrdersTable[Delivery Date]=TODAY())*(OrdersTable[Status]&lt;&gt;"Delivered")*(OrdersTable[Status]&lt;&gt;"Cancelled"),0)),"—")</f>
        <v>—</v>
      </c>
      <c r="F12" s="35" t="str" cm="1">
        <f t="array" aca="1" ref="F12" ca="1">IFERROR(INDEX(OrdersTable[Status],MATCH(1,(OrdersTable[Delivery Date]=TODAY())*(OrdersTable[Status]&lt;&gt;"Delivered")*(OrdersTable[Status]&lt;&gt;"Cancelled"),0)),"—")</f>
        <v>—</v>
      </c>
      <c r="G12" s="75" cm="1">
        <f t="array" aca="1" ref="G12" ca="1">IFERROR(INDEX(OrdersTable[Balance],MATCH(1,(OrdersTable[Delivery Date]=TODAY())*(OrdersTable[Status]&lt;&gt;"Delivered")*(OrdersTable[Status]&lt;&gt;"Cancelled"),0)),0)</f>
        <v>0</v>
      </c>
    </row>
    <row r="13" spans="1:32">
      <c r="A13" s="76" t="s">
        <v>407</v>
      </c>
      <c r="B13" s="77" t="str" cm="1">
        <f t="array" aca="1" ref="B13" ca="1">IFERROR(INDEX(OrdersTable[Order ID],MATCH(1,(OrdersTable[Delivery Date]&gt;TODAY())*(OrdersTable[Delivery Date]&lt;=TODAY()+7)*(OrdersTable[Status]&lt;&gt;"Delivered")*(OrdersTable[Status]&lt;&gt;"Cancelled"),0)),"—")</f>
        <v>—</v>
      </c>
      <c r="C13" s="77" t="str" cm="1">
        <f t="array" aca="1" ref="C13" ca="1">IFERROR(INDEX(OrdersTable[Customer Name],MATCH(1,(OrdersTable[Delivery Date]&gt;TODAY())*(OrdersTable[Delivery Date]&lt;=TODAY()+7)*(OrdersTable[Status]&lt;&gt;"Delivered")*(OrdersTable[Status]&lt;&gt;"Cancelled"),0)),"—")</f>
        <v>—</v>
      </c>
      <c r="D13" s="77" t="str" cm="1">
        <f t="array" aca="1" ref="D13" ca="1">IFERROR(INDEX(OrdersTable[Item Type],MATCH(1,(OrdersTable[Delivery Date]&gt;TODAY())*(OrdersTable[Delivery Date]&lt;=TODAY()+7)*(OrdersTable[Status]&lt;&gt;"Delivered")*(OrdersTable[Status]&lt;&gt;"Cancelled"),0)),"—")</f>
        <v>—</v>
      </c>
      <c r="E13" s="79" t="str" cm="1">
        <f t="array" aca="1" ref="E13" ca="1">IFERROR(INDEX(OrdersTable[Delivery Date],MATCH(1,(OrdersTable[Delivery Date]&gt;TODAY())*(OrdersTable[Delivery Date]&lt;=TODAY()+7)*(OrdersTable[Status]&lt;&gt;"Delivered")*(OrdersTable[Status]&lt;&gt;"Cancelled"),0)),"—")</f>
        <v>—</v>
      </c>
      <c r="F13" s="78" t="str" cm="1">
        <f t="array" aca="1" ref="F13" ca="1">IFERROR(INDEX(OrdersTable[Status],MATCH(1,(OrdersTable[Delivery Date]&gt;TODAY())*(OrdersTable[Delivery Date]&lt;=TODAY()+7)*(OrdersTable[Status]&lt;&gt;"Delivered")*(OrdersTable[Status]&lt;&gt;"Cancelled"),0)),"—")</f>
        <v>—</v>
      </c>
      <c r="G13" s="80" cm="1">
        <f t="array" aca="1" ref="G13" ca="1">IFERROR(INDEX(OrdersTable[Balance],MATCH(1,(OrdersTable[Delivery Date]&gt;TODAY())*(OrdersTable[Delivery Date]&lt;=TODAY()+7)*(OrdersTable[Status]&lt;&gt;"Delivered")*(OrdersTable[Status]&lt;&gt;"Cancelled"),0)),0)</f>
        <v>0</v>
      </c>
    </row>
    <row r="14" spans="1:32">
      <c r="A14" s="81" t="s">
        <v>408</v>
      </c>
      <c r="B14" s="82" t="str" cm="1">
        <f t="array" aca="1" ref="B14" ca="1">IFERROR(INDEX(OrdersTable[Order ID],MATCH(1,(OrdersTable[Delivery Date]&gt;TODAY()+7)*(OrdersTable[Status]&lt;&gt;"Delivered")*(OrdersTable[Status]&lt;&gt;"Cancelled"),0)),"—")</f>
        <v>ORD-2026-0001-01</v>
      </c>
      <c r="C14" s="82" t="str" cm="1">
        <f t="array" aca="1" ref="C14" ca="1">IFERROR(INDEX(OrdersTable[Customer Name],MATCH(1,(OrdersTable[Delivery Date]&gt;TODAY()+7)*(OrdersTable[Status]&lt;&gt;"Delivered")*(OrdersTable[Status]&lt;&gt;"Cancelled"),0)),"—")</f>
        <v>Gurpreet Singh</v>
      </c>
      <c r="D14" s="82" t="str" cm="1">
        <f t="array" aca="1" ref="D14" ca="1">IFERROR(INDEX(OrdersTable[Item Type],MATCH(1,(OrdersTable[Delivery Date]&gt;TODAY()+7)*(OrdersTable[Status]&lt;&gt;"Delivered")*(OrdersTable[Status]&lt;&gt;"Cancelled"),0)),"—")</f>
        <v>Kurta Pajama</v>
      </c>
      <c r="E14" s="84" cm="1">
        <f t="array" aca="1" ref="E14" ca="1">IFERROR(INDEX(OrdersTable[Delivery Date],MATCH(1,(OrdersTable[Delivery Date]&gt;TODAY()+7)*(OrdersTable[Status]&lt;&gt;"Delivered")*(OrdersTable[Status]&lt;&gt;"Cancelled"),0)),"—")</f>
        <v>46183</v>
      </c>
      <c r="F14" s="83" t="str" cm="1">
        <f t="array" aca="1" ref="F14" ca="1">IFERROR(INDEX(OrdersTable[Status],MATCH(1,(OrdersTable[Delivery Date]&gt;TODAY()+7)*(OrdersTable[Status]&lt;&gt;"Delivered")*(OrdersTable[Status]&lt;&gt;"Cancelled"),0)),"—")</f>
        <v>Booked</v>
      </c>
      <c r="G14" s="85" cm="1">
        <f t="array" aca="1" ref="G14" ca="1">IFERROR(INDEX(OrdersTable[Balance],MATCH(1,(OrdersTable[Delivery Date]&gt;TODAY()+7)*(OrdersTable[Status]&lt;&gt;"Delivered")*(OrdersTable[Status]&lt;&gt;"Cancelled"),0)),0)</f>
        <v>60000</v>
      </c>
    </row>
    <row r="16" spans="1:32" ht="17.399999999999999">
      <c r="A16" s="63" t="s">
        <v>409</v>
      </c>
      <c r="B16" s="9"/>
      <c r="C16" s="9"/>
    </row>
    <row r="17" spans="1:3">
      <c r="A17" s="65" t="s">
        <v>1</v>
      </c>
      <c r="B17" s="66" t="s">
        <v>99</v>
      </c>
      <c r="C17" s="66" t="s">
        <v>410</v>
      </c>
    </row>
    <row r="18" spans="1:3">
      <c r="A18" s="20" t="s">
        <v>47</v>
      </c>
      <c r="B18" s="86">
        <f>COUNTIFS(OrdersTable[Status],A18)</f>
        <v>3</v>
      </c>
      <c r="C18" s="87">
        <f>SUMIFS(OrdersTable[Amount],OrdersTable[Status],A18)</f>
        <v>430000</v>
      </c>
    </row>
    <row r="19" spans="1:3">
      <c r="A19" s="20" t="s">
        <v>101</v>
      </c>
      <c r="B19" s="86">
        <f>COUNTIFS(OrdersTable[Status],A19)</f>
        <v>0</v>
      </c>
      <c r="C19" s="87">
        <f>SUMIFS(OrdersTable[Amount],OrdersTable[Status],A19)</f>
        <v>0</v>
      </c>
    </row>
    <row r="20" spans="1:3">
      <c r="A20" s="20" t="s">
        <v>78</v>
      </c>
      <c r="B20" s="86">
        <f>COUNTIFS(OrdersTable[Status],A20)</f>
        <v>0</v>
      </c>
      <c r="C20" s="87">
        <f>SUMIFS(OrdersTable[Amount],OrdersTable[Status],A20)</f>
        <v>0</v>
      </c>
    </row>
    <row r="21" spans="1:3">
      <c r="A21" s="20" t="s">
        <v>102</v>
      </c>
      <c r="B21" s="86">
        <f>COUNTIFS(OrdersTable[Status],A21)</f>
        <v>0</v>
      </c>
      <c r="C21" s="87">
        <f>SUMIFS(OrdersTable[Amount],OrdersTable[Status],A21)</f>
        <v>0</v>
      </c>
    </row>
    <row r="22" spans="1:3">
      <c r="A22" s="20" t="s">
        <v>103</v>
      </c>
      <c r="B22" s="86">
        <f>COUNTIFS(OrdersTable[Status],A22)</f>
        <v>0</v>
      </c>
      <c r="C22" s="87">
        <f>SUMIFS(OrdersTable[Amount],OrdersTable[Status],A22)</f>
        <v>0</v>
      </c>
    </row>
    <row r="23" spans="1:3">
      <c r="A23" s="20" t="s">
        <v>4</v>
      </c>
      <c r="B23" s="86">
        <f>COUNTIFS(OrdersTable[Status],A23)</f>
        <v>0</v>
      </c>
      <c r="C23" s="87">
        <f>SUMIFS(OrdersTable[Amount],OrdersTable[Status],A23)</f>
        <v>0</v>
      </c>
    </row>
    <row r="24" spans="1:3">
      <c r="A24" s="20" t="s">
        <v>105</v>
      </c>
      <c r="B24" s="86">
        <f>COUNTIFS(OrdersTable[Status],A24)</f>
        <v>0</v>
      </c>
      <c r="C24" s="87">
        <f>SUMIFS(OrdersTable[Amount],OrdersTable[Status],A24)</f>
        <v>0</v>
      </c>
    </row>
    <row r="25" spans="1:3">
      <c r="A25" s="20" t="s">
        <v>106</v>
      </c>
      <c r="B25" s="86">
        <f>COUNTIFS(OrdersTable[Status],A25)</f>
        <v>0</v>
      </c>
      <c r="C25" s="87">
        <f>SUMIFS(OrdersTable[Amount],OrdersTable[Status],A25)</f>
        <v>0</v>
      </c>
    </row>
    <row r="26" spans="1:3">
      <c r="A26" s="88" t="s">
        <v>411</v>
      </c>
      <c r="B26" s="89">
        <f>SUM(B18:B25)</f>
        <v>3</v>
      </c>
      <c r="C26" s="90">
        <f>SUM(C18:C25)</f>
        <v>430000</v>
      </c>
    </row>
    <row r="51" spans="10:10">
      <c r="J51" s="2"/>
    </row>
    <row r="52" spans="10:10">
      <c r="J52" s="2"/>
    </row>
    <row r="53" spans="10:10">
      <c r="J53" s="2"/>
    </row>
    <row r="54" spans="10:10">
      <c r="J54" s="2"/>
    </row>
    <row r="55" spans="10:10">
      <c r="J55" s="2"/>
    </row>
    <row r="56" spans="10:10">
      <c r="J56" s="2"/>
    </row>
    <row r="57" spans="10:10">
      <c r="J57" s="2"/>
    </row>
    <row r="58" spans="10:10">
      <c r="J58" s="2"/>
    </row>
    <row r="59" spans="10:10">
      <c r="J59" s="2"/>
    </row>
    <row r="60" spans="10:10">
      <c r="J60" s="2"/>
    </row>
    <row r="61" spans="10:10">
      <c r="J61" s="2"/>
    </row>
    <row r="62" spans="10:10">
      <c r="J62" s="2"/>
    </row>
    <row r="63" spans="10:10">
      <c r="J63" s="2"/>
    </row>
    <row r="64" spans="10:10">
      <c r="J64" s="2"/>
    </row>
    <row r="65" spans="10:10">
      <c r="J65" s="2"/>
    </row>
    <row r="66" spans="10:10">
      <c r="J66" s="2"/>
    </row>
    <row r="67" spans="10:10">
      <c r="J67" s="2"/>
    </row>
    <row r="68" spans="10:10">
      <c r="J68" s="2"/>
    </row>
    <row r="69" spans="10:10">
      <c r="J69" s="2"/>
    </row>
    <row r="70" spans="10:10">
      <c r="J70" s="2"/>
    </row>
    <row r="71" spans="10:10">
      <c r="J71" s="2"/>
    </row>
    <row r="72" spans="10:10">
      <c r="J72" s="2"/>
    </row>
    <row r="73" spans="10:10">
      <c r="J73" s="2"/>
    </row>
    <row r="74" spans="10:10">
      <c r="J74" s="2"/>
    </row>
    <row r="75" spans="10:10">
      <c r="J75" s="2"/>
    </row>
    <row r="76" spans="10:10">
      <c r="J76" s="2"/>
    </row>
    <row r="77" spans="10:10">
      <c r="J77" s="2"/>
    </row>
    <row r="78" spans="10:10">
      <c r="J78" s="2"/>
    </row>
    <row r="79" spans="10:10">
      <c r="J79" s="2"/>
    </row>
    <row r="80" spans="10:10">
      <c r="J80" s="2"/>
    </row>
    <row r="81" spans="10:10">
      <c r="J81" s="2"/>
    </row>
    <row r="82" spans="10:10">
      <c r="J82" s="2"/>
    </row>
    <row r="83" spans="10:10">
      <c r="J83" s="2"/>
    </row>
    <row r="84" spans="10:10">
      <c r="J84" s="2"/>
    </row>
    <row r="85" spans="10:10">
      <c r="J85" s="2"/>
    </row>
    <row r="86" spans="10:10">
      <c r="J86" s="2"/>
    </row>
    <row r="87" spans="10:10">
      <c r="J87" s="2"/>
    </row>
    <row r="88" spans="10:10">
      <c r="J88" s="2"/>
    </row>
    <row r="89" spans="10:10">
      <c r="J89" s="2"/>
    </row>
    <row r="90" spans="10:10">
      <c r="J90" s="2"/>
    </row>
    <row r="91" spans="10:10">
      <c r="J91" s="2"/>
    </row>
    <row r="92" spans="10:10">
      <c r="J92" s="2"/>
    </row>
    <row r="93" spans="10:10">
      <c r="J93" s="2"/>
    </row>
    <row r="94" spans="10:10">
      <c r="J94" s="2"/>
    </row>
    <row r="95" spans="10:10">
      <c r="J95" s="2"/>
    </row>
    <row r="96" spans="10:10">
      <c r="J96" s="2"/>
    </row>
    <row r="97" spans="10:10">
      <c r="J97" s="2"/>
    </row>
    <row r="98" spans="10:10">
      <c r="J98" s="2"/>
    </row>
    <row r="99" spans="10:10">
      <c r="J99" s="2"/>
    </row>
    <row r="100" spans="10:10">
      <c r="J10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39"/>
  <sheetViews>
    <sheetView tabSelected="1" workbookViewId="0">
      <selection activeCell="E5" sqref="E5"/>
    </sheetView>
  </sheetViews>
  <sheetFormatPr defaultRowHeight="13.8"/>
  <cols>
    <col min="1" max="1" width="21.69921875" customWidth="1"/>
    <col min="2" max="2" width="33.296875" customWidth="1"/>
    <col min="3" max="3" width="10" customWidth="1"/>
    <col min="4" max="4" width="21.69921875" customWidth="1"/>
    <col min="5" max="5" width="33.296875" customWidth="1"/>
    <col min="6" max="8" width="10" customWidth="1"/>
    <col min="9" max="9" width="15" customWidth="1"/>
    <col min="10" max="10" width="18.296875" customWidth="1"/>
  </cols>
  <sheetData>
    <row r="1" spans="1:32" ht="31.95" customHeight="1">
      <c r="A1" s="13" t="str" cm="1">
        <f t="array" ref="A1">_xlfn.XLOOKUP("FORM_TITLE",Lists!$H:$H,CHOOSE(MATCH($J$1,Lists!$M$5:$M$7,0),Lists!$I:$I,Lists!$J:$J,Lists!$K:$K))</f>
        <v>Tailor Order Entry Form</v>
      </c>
      <c r="B1" s="9"/>
      <c r="C1" s="9"/>
      <c r="D1" s="9"/>
      <c r="E1" s="9"/>
      <c r="F1" s="9"/>
      <c r="G1" s="9"/>
      <c r="H1" s="9"/>
      <c r="I1" s="14" t="str" cm="1">
        <f t="array" ref="I1">_xlfn.XLOOKUP("LANGUAGE",Lists!$H:$H,CHOOSE(MATCH($J$1,Lists!$M$5:$M$7,0),Lists!$I:$I,Lists!$J:$J,Lists!$K:$K))</f>
        <v>Language</v>
      </c>
      <c r="J1" s="15" t="s">
        <v>218</v>
      </c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27.15" customHeight="1">
      <c r="A2" s="16" t="s">
        <v>388</v>
      </c>
      <c r="B2" s="17"/>
      <c r="C2" s="17"/>
      <c r="D2" s="17"/>
      <c r="E2" s="17"/>
      <c r="F2" s="17"/>
      <c r="G2" s="17"/>
      <c r="H2" s="17"/>
      <c r="I2" s="17"/>
      <c r="J2" s="17"/>
    </row>
    <row r="4" spans="1:32" ht="22.05" customHeight="1">
      <c r="A4" s="18" t="str" cm="1">
        <f t="array" ref="A4">_xlfn.XLOOKUP("CUST_DETAILS",Lists!$H:$H,CHOOSE(MATCH($J$1,Lists!$M$5:$M$7,0),Lists!$I:$I,Lists!$J:$J,Lists!$K:$K))</f>
        <v>Customer Details</v>
      </c>
      <c r="B4" s="9"/>
      <c r="C4" s="9"/>
      <c r="D4" s="18" t="str" cm="1">
        <f t="array" ref="D4">_xlfn.XLOOKUP("CUST_LOOKUP",Lists!$H:$H,CHOOSE(MATCH($J$1,Lists!$M$5:$M$7,0),Lists!$I:$I,Lists!$J:$J,Lists!$K:$K))</f>
        <v>Existing Customer Lookup</v>
      </c>
      <c r="E4" s="9"/>
      <c r="F4" s="9"/>
      <c r="G4" s="9"/>
      <c r="H4" s="9"/>
      <c r="I4" s="9"/>
      <c r="J4" s="9"/>
    </row>
    <row r="5" spans="1:32">
      <c r="A5" s="19" t="str" cm="1">
        <f t="array" ref="A5">_xlfn.XLOOKUP("CUST_MODE",Lists!$H:$H,CHOOSE(MATCH($J$1,Lists!$M$5:$M$7,0),Lists!$I:$I,Lists!$J:$J,Lists!$K:$K))</f>
        <v>Customer Mode</v>
      </c>
      <c r="B5" s="21" t="s">
        <v>16</v>
      </c>
      <c r="D5" s="19" t="s">
        <v>389</v>
      </c>
      <c r="E5" s="21"/>
    </row>
    <row r="6" spans="1:32">
      <c r="A6" s="19" t="str" cm="1">
        <f t="array" ref="A6">_xlfn.XLOOKUP("EXIST_CUST_ID",Lists!$H:$H,CHOOSE(MATCH($J$1,Lists!$M$5:$M$7,0),Lists!$I:$I,Lists!$J:$J,Lists!$K:$K))</f>
        <v>Existing Customer ID</v>
      </c>
      <c r="B6" s="22" t="str" cm="1">
        <f t="array" ref="B6">IF($B$5="Existing",IFERROR(TRIM(LEFT($E$5,FIND(" — ",$E$5)-1)),""),"CUST-"&amp;TEXT(IFERROR(MAX(IFERROR(--MID(Customers!$A$5:$A$504,6,4),0)),0)+1,"0000"))</f>
        <v>CUST-0003</v>
      </c>
      <c r="D6" s="19" t="s">
        <v>20</v>
      </c>
      <c r="E6" s="23" t="str">
        <f>IF($B$5="Existing",$B$6,"")</f>
        <v/>
      </c>
    </row>
    <row r="7" spans="1:32">
      <c r="A7" s="19" t="str" cm="1">
        <f t="array" ref="A7">_xlfn.XLOOKUP("CUST_NAME",Lists!$H:$H,CHOOSE(MATCH($J$1,Lists!$M$5:$M$7,0),Lists!$I:$I,Lists!$J:$J,Lists!$K:$K))</f>
        <v>Customer Name</v>
      </c>
      <c r="B7" s="33"/>
      <c r="D7" s="19" t="s">
        <v>22</v>
      </c>
      <c r="E7" s="23" t="str">
        <f>IF($B$5="Existing",IFERROR(_xlfn.XLOOKUP($B$6,Customers!$A:$A,Customers!$B:$B,""),""),"")</f>
        <v/>
      </c>
    </row>
    <row r="8" spans="1:32">
      <c r="A8" s="19" t="str" cm="1">
        <f t="array" ref="A8">_xlfn.XLOOKUP("MOBILE",Lists!$H:$H,CHOOSE(MATCH($J$1,Lists!$M$5:$M$7,0),Lists!$I:$I,Lists!$J:$J,Lists!$K:$K))</f>
        <v>Mobile</v>
      </c>
      <c r="B8" s="94" t="s">
        <v>418</v>
      </c>
      <c r="D8" s="19" t="s">
        <v>390</v>
      </c>
      <c r="E8" s="23" t="str" cm="1">
        <f t="array" ref="E8">IF($B$5="Existing",IFERROR(INDEX(Orders!$A:$A,MATCH(2,1/(Orders!$D$5:$D$6=$B$6))+4),""),"")</f>
        <v/>
      </c>
    </row>
    <row r="9" spans="1:32">
      <c r="A9" s="19" t="str" cm="1">
        <f t="array" ref="A9">_xlfn.XLOOKUP("WHATSAPP",Lists!$H:$H,CHOOSE(MATCH($J$1,Lists!$M$5:$M$7,0),Lists!$I:$I,Lists!$J:$J,Lists!$K:$K))</f>
        <v>WhatsApp</v>
      </c>
      <c r="B9" s="24" t="s">
        <v>66</v>
      </c>
      <c r="D9" s="19" t="s">
        <v>24</v>
      </c>
      <c r="E9" s="23" t="str">
        <f>IF($B$5="Existing",IFERROR(_xlfn.XLOOKUP($B$6,Customers!$A:$A,Customers!$C:$C,""),""),"")</f>
        <v/>
      </c>
    </row>
    <row r="10" spans="1:32">
      <c r="A10" s="19" t="str" cm="1">
        <f t="array" ref="A10">_xlfn.XLOOKUP("ADDRESS",Lists!$H:$H,CHOOSE(MATCH($J$1,Lists!$M$5:$M$7,0),Lists!$I:$I,Lists!$J:$J,Lists!$K:$K))</f>
        <v>Address</v>
      </c>
      <c r="B10" s="24"/>
      <c r="D10" s="19" t="s">
        <v>27</v>
      </c>
      <c r="E10" s="23" t="str">
        <f>IF($B$5="Existing",IFERROR(_xlfn.XLOOKUP($B$6,Customers!$A:$A,Customers!$F:$F,""),""),"")</f>
        <v/>
      </c>
    </row>
    <row r="11" spans="1:32">
      <c r="A11" s="19" t="str" cm="1">
        <f t="array" ref="A11">_xlfn.XLOOKUP("PREF_FIT",Lists!$H:$H,CHOOSE(MATCH($J$1,Lists!$M$5:$M$7,0),Lists!$I:$I,Lists!$J:$J,Lists!$K:$K))</f>
        <v>Preferred Fit</v>
      </c>
      <c r="B11" s="24" t="s">
        <v>68</v>
      </c>
      <c r="D11" s="19" t="s">
        <v>391</v>
      </c>
      <c r="E11" s="25">
        <f>IF($B$5="Existing",IFERROR(COUNTIF(Orders!$D$5:$D$6,$B$6),0),0)</f>
        <v>0</v>
      </c>
    </row>
    <row r="12" spans="1:32">
      <c r="A12" s="19" t="str" cm="1">
        <f t="array" ref="A12">_xlfn.XLOOKUP("SOURCE",Lists!$H:$H,CHOOSE(MATCH($J$1,Lists!$M$5:$M$7,0),Lists!$I:$I,Lists!$J:$J,Lists!$K:$K))</f>
        <v>Source</v>
      </c>
      <c r="B12" s="24" t="s">
        <v>353</v>
      </c>
    </row>
    <row r="13" spans="1:32">
      <c r="A13" s="19" t="str" cm="1">
        <f t="array" ref="A13">_xlfn.XLOOKUP("CITY",Lists!$H:$H,CHOOSE(MATCH($J$1,Lists!$M$5:$M$7,0),Lists!$I:$I,Lists!$J:$J,Lists!$K:$K))</f>
        <v>City</v>
      </c>
      <c r="B13" s="24"/>
    </row>
    <row r="14" spans="1:32">
      <c r="A14" s="19" t="str" cm="1">
        <f t="array" ref="A14">_xlfn.XLOOKUP("ALT_PHONE",Lists!$H:$H,CHOOSE(MATCH($J$1,Lists!$M$5:$M$7,0),Lists!$I:$I,Lists!$J:$J,Lists!$K:$K))</f>
        <v>Alternate Phone</v>
      </c>
      <c r="B14" s="94" t="s">
        <v>418</v>
      </c>
    </row>
    <row r="15" spans="1:32">
      <c r="A15" s="19" t="str" cm="1">
        <f t="array" ref="A15">_xlfn.XLOOKUP("NOTES",Lists!$H:$H,CHOOSE(MATCH($J$1,Lists!$M$5:$M$7,0),Lists!$I:$I,Lists!$J:$J,Lists!$K:$K))</f>
        <v>Notes</v>
      </c>
      <c r="B15" s="24"/>
    </row>
    <row r="16" spans="1:32">
      <c r="A16" s="19" t="str" cm="1">
        <f t="array" ref="A16">_xlfn.XLOOKUP("ACTIVE",Lists!$H:$H,CHOOSE(MATCH($J$1,Lists!$M$5:$M$7,0),Lists!$I:$I,Lists!$J:$J,Lists!$K:$K))</f>
        <v>Active?</v>
      </c>
      <c r="B16" s="24" t="s">
        <v>66</v>
      </c>
    </row>
    <row r="18" spans="1:10" ht="22.05" customHeight="1">
      <c r="A18" s="18" t="str" cm="1">
        <f t="array" ref="A18">_xlfn.XLOOKUP("ORDER_DETAILS",Lists!$H:$H,CHOOSE(MATCH($J$1,Lists!$M$5:$M$7,0),Lists!$I:$I,Lists!$J:$J,Lists!$K:$K))</f>
        <v>Order Details</v>
      </c>
      <c r="B18" s="9"/>
      <c r="C18" s="9"/>
      <c r="D18" s="9"/>
      <c r="E18" s="9"/>
    </row>
    <row r="19" spans="1:10">
      <c r="A19" s="19" t="str" cm="1">
        <f t="array" ref="A19">_xlfn.XLOOKUP("ORDER_ID",Lists!$H:$H,CHOOSE(MATCH($J$1,Lists!$M$5:$M$7,0),Lists!$I:$I,Lists!$J:$J,Lists!$K:$K))</f>
        <v>Order ID</v>
      </c>
      <c r="B19" s="22" t="str">
        <f ca="1">IFERROR("ORD-"&amp;YEAR(TODAY())&amp;"-"&amp;TEXT($B$20,"0000")&amp;"-"&amp;TEXT($B$21,"00"),"")</f>
        <v>ORD-2026-0002-01</v>
      </c>
      <c r="D19" s="19" t="str" cm="1">
        <f t="array" ref="D19">_xlfn.XLOOKUP("BOOK_DATE",Lists!$H:$H,CHOOSE(MATCH($J$1,Lists!$M$5:$M$7,0),Lists!$I:$I,Lists!$J:$J,Lists!$K:$K))</f>
        <v>Booking Date</v>
      </c>
      <c r="E19" s="26">
        <f ca="1">TODAY()</f>
        <v>46169</v>
      </c>
    </row>
    <row r="20" spans="1:10">
      <c r="A20" s="19" t="str" cm="1">
        <f t="array" ref="A20">_xlfn.XLOOKUP("ORDER_NO",Lists!$H:$H,CHOOSE(MATCH($J$1,Lists!$M$5:$M$7,0),Lists!$I:$I,Lists!$J:$J,Lists!$K:$K))</f>
        <v>Order No</v>
      </c>
      <c r="B20" s="27">
        <f>IF($B$6="",IFERROR(MAX(Orders!$B$5:$B$6),0)+1,IF(COUNTIF(Orders!$D$5:$D$6,$B$6)&gt;0,_xlfn.MAXIFS(Orders!$B$5:$B$6,Orders!$D$5:$D$6,$B$6),IFERROR(MAX(Orders!$B$5:$B$6),0)+1))</f>
        <v>2</v>
      </c>
      <c r="D20" s="19" t="str" cm="1">
        <f t="array" ref="D20">_xlfn.XLOOKUP("TRIAL_DATE",Lists!$H:$H,CHOOSE(MATCH($J$1,Lists!$M$5:$M$7,0),Lists!$I:$I,Lists!$J:$J,Lists!$K:$K))</f>
        <v>Trial Date</v>
      </c>
      <c r="E20" s="26"/>
    </row>
    <row r="21" spans="1:10">
      <c r="A21" s="19" t="str" cm="1">
        <f t="array" ref="A21">_xlfn.XLOOKUP("LINE_NO",Lists!$H:$H,CHOOSE(MATCH($J$1,Lists!$M$5:$M$7,0),Lists!$I:$I,Lists!$J:$J,Lists!$K:$K))</f>
        <v>Line No</v>
      </c>
      <c r="B21" s="27">
        <f>IF($B$6="",1,IF(COUNTIFS(Orders!$D$5:$D$6,$B$6,Orders!$B$5:$B$6,$B$20)&gt;0,_xlfn.MAXIFS(Orders!$C$5:$C$6,Orders!$D$5:$D$6,$B$6,Orders!$B$5:$B$6,$B$20)+1,1))</f>
        <v>1</v>
      </c>
      <c r="D21" s="19" t="str" cm="1">
        <f t="array" ref="D21">_xlfn.XLOOKUP("DELIV_DATE",Lists!$H:$H,CHOOSE(MATCH($J$1,Lists!$M$5:$M$7,0),Lists!$I:$I,Lists!$J:$J,Lists!$K:$K))</f>
        <v>Delivery Date</v>
      </c>
      <c r="E21" s="29"/>
    </row>
    <row r="22" spans="1:10">
      <c r="A22" s="19" t="str" cm="1">
        <f t="array" ref="A22">_xlfn.XLOOKUP("ITEM_TYPE",Lists!$H:$H,CHOOSE(MATCH($J$1,Lists!$M$5:$M$7,0),Lists!$I:$I,Lists!$J:$J,Lists!$K:$K))</f>
        <v>Item Type</v>
      </c>
      <c r="B22" s="28" t="s">
        <v>46</v>
      </c>
      <c r="D22" s="19" t="str" cm="1">
        <f t="array" ref="D22">_xlfn.XLOOKUP("QTY",Lists!$H:$H,CHOOSE(MATCH($J$1,Lists!$M$5:$M$7,0),Lists!$I:$I,Lists!$J:$J,Lists!$K:$K))</f>
        <v>Qty</v>
      </c>
      <c r="E22" s="30">
        <v>1</v>
      </c>
    </row>
    <row r="23" spans="1:10">
      <c r="A23" s="19" t="str" cm="1">
        <f t="array" ref="A23">_xlfn.XLOOKUP("COLOUR",Lists!$H:$H,CHOOSE(MATCH($J$1,Lists!$M$5:$M$7,0),Lists!$I:$I,Lists!$J:$J,Lists!$K:$K))</f>
        <v>Colour</v>
      </c>
      <c r="B23" s="28"/>
      <c r="D23" s="19" t="str" cm="1">
        <f t="array" ref="D23">_xlfn.XLOOKUP("RATE",Lists!$H:$H,CHOOSE(MATCH($J$1,Lists!$M$5:$M$7,0),Lists!$I:$I,Lists!$J:$J,Lists!$K:$K))</f>
        <v>Rate</v>
      </c>
      <c r="E23" s="31">
        <v>0</v>
      </c>
    </row>
    <row r="24" spans="1:10">
      <c r="A24" s="19" t="str" cm="1">
        <f t="array" ref="A24">_xlfn.XLOOKUP("FABRIC",Lists!$H:$H,CHOOSE(MATCH($J$1,Lists!$M$5:$M$7,0),Lists!$I:$I,Lists!$J:$J,Lists!$K:$K))</f>
        <v>Fabric/Material</v>
      </c>
      <c r="B24" s="28"/>
      <c r="D24" s="19" t="str" cm="1">
        <f t="array" ref="D24">_xlfn.XLOOKUP("AMOUNT",Lists!$H:$H,CHOOSE(MATCH($J$1,Lists!$M$5:$M$7,0),Lists!$I:$I,Lists!$J:$J,Lists!$K:$K))</f>
        <v>Amount</v>
      </c>
      <c r="E24" s="32">
        <f>E22*E23</f>
        <v>0</v>
      </c>
    </row>
    <row r="25" spans="1:10">
      <c r="A25" s="19" t="str" cm="1">
        <f t="array" ref="A25">_xlfn.XLOOKUP("STATUS",Lists!$H:$H,CHOOSE(MATCH($J$1,Lists!$M$5:$M$7,0),Lists!$I:$I,Lists!$J:$J,Lists!$K:$K))</f>
        <v>Status</v>
      </c>
      <c r="B25" s="24" t="s">
        <v>47</v>
      </c>
      <c r="D25" s="19" t="str" cm="1">
        <f t="array" ref="D25">_xlfn.XLOOKUP("ADVANCE",Lists!$H:$H,CHOOSE(MATCH($J$1,Lists!$M$5:$M$7,0),Lists!$I:$I,Lists!$J:$J,Lists!$K:$K))</f>
        <v>Advance</v>
      </c>
      <c r="E25" s="31">
        <v>0</v>
      </c>
    </row>
    <row r="26" spans="1:10">
      <c r="A26" s="19" t="str" cm="1">
        <f t="array" ref="A26">_xlfn.XLOOKUP("PRIORITY",Lists!$H:$H,CHOOSE(MATCH($J$1,Lists!$M$5:$M$7,0),Lists!$I:$I,Lists!$J:$J,Lists!$K:$K))</f>
        <v>Priority</v>
      </c>
      <c r="B26" s="24" t="s">
        <v>49</v>
      </c>
      <c r="D26" s="19" t="str" cm="1">
        <f t="array" ref="D26">_xlfn.XLOOKUP("BALANCE",Lists!$H:$H,CHOOSE(MATCH($J$1,Lists!$M$5:$M$7,0),Lists!$I:$I,Lists!$J:$J,Lists!$K:$K))</f>
        <v>Balance</v>
      </c>
      <c r="E26" s="32">
        <f>MAX(E24-E25,0)</f>
        <v>0</v>
      </c>
    </row>
    <row r="27" spans="1:10">
      <c r="A27" s="19" t="str" cm="1">
        <f t="array" ref="A27">_xlfn.XLOOKUP("STAFF",Lists!$H:$H,CHOOSE(MATCH($J$1,Lists!$M$5:$M$7,0),Lists!$I:$I,Lists!$J:$J,Lists!$K:$K))</f>
        <v>Assigned Staff</v>
      </c>
      <c r="B27" s="33" t="s">
        <v>10</v>
      </c>
      <c r="D27" s="19" t="str" cm="1">
        <f t="array" ref="D27">_xlfn.XLOOKUP("PAY_STATUS",Lists!$H:$H,CHOOSE(MATCH($J$1,Lists!$M$5:$M$7,0),Lists!$I:$I,Lists!$J:$J,Lists!$K:$K))</f>
        <v>Payment Status</v>
      </c>
      <c r="E27" s="22" t="str">
        <f>IF(E24=0,"Unpaid",IF(E26&lt;=0,"Paid",IF(E25&gt;0,"Part Paid","Unpaid")))</f>
        <v>Unpaid</v>
      </c>
    </row>
    <row r="29" spans="1:10" ht="22.05" customHeight="1">
      <c r="A29" s="18" t="str" cm="1">
        <f t="array" ref="A29">_xlfn.XLOOKUP("MEAS",Lists!$H:$H,CHOOSE(MATCH($J$1,Lists!$M$5:$M$7,0),Lists!$I:$I,Lists!$J:$J,Lists!$K:$K))</f>
        <v>Measurements</v>
      </c>
      <c r="B29" s="9"/>
      <c r="C29" s="9"/>
      <c r="D29" s="9"/>
      <c r="E29" s="9"/>
      <c r="F29" s="9"/>
      <c r="G29" s="9"/>
      <c r="H29" s="9"/>
      <c r="I29" s="9"/>
      <c r="J29" s="9"/>
    </row>
    <row r="30" spans="1:10" ht="22.05" customHeight="1">
      <c r="A30" s="34" t="str" cm="1">
        <f t="array" ref="A30">_xlfn.XLOOKUP("LENGTH",Lists!$H:$H,CHOOSE(MATCH($J$1,Lists!$M$5:$M$7,0),Lists!$I:$I,Lists!$J:$J,Lists!$K:$K))</f>
        <v>Length</v>
      </c>
      <c r="B30" s="34" t="str" cm="1">
        <f t="array" ref="B30">_xlfn.XLOOKUP("CHEST",Lists!$H:$H,CHOOSE(MATCH($J$1,Lists!$M$5:$M$7,0),Lists!$I:$I,Lists!$J:$J,Lists!$K:$K))</f>
        <v>Chest</v>
      </c>
      <c r="C30" s="34" t="str" cm="1">
        <f t="array" ref="C30">_xlfn.XLOOKUP("GAP",Lists!$H:$H,CHOOSE(MATCH($J$1,Lists!$M$5:$M$7,0),Lists!$I:$I,Lists!$J:$J,Lists!$K:$K))</f>
        <v>Gap</v>
      </c>
      <c r="D30" s="34" t="str" cm="1">
        <f t="array" ref="D30">_xlfn.XLOOKUP("WAIST",Lists!$H:$H,CHOOSE(MATCH($J$1,Lists!$M$5:$M$7,0),Lists!$I:$I,Lists!$J:$J,Lists!$K:$K))</f>
        <v>Waist</v>
      </c>
      <c r="E30" s="34" t="str" cm="1">
        <f t="array" ref="E30">_xlfn.XLOOKUP("HIPS",Lists!$H:$H,CHOOSE(MATCH($J$1,Lists!$M$5:$M$7,0),Lists!$I:$I,Lists!$J:$J,Lists!$K:$K))</f>
        <v>Hips</v>
      </c>
      <c r="F30" s="34" t="str" cm="1">
        <f t="array" ref="F30">_xlfn.XLOOKUP("SHOULDER",Lists!$H:$H,CHOOSE(MATCH($J$1,Lists!$M$5:$M$7,0),Lists!$I:$I,Lists!$J:$J,Lists!$K:$K))</f>
        <v>Shoulder</v>
      </c>
      <c r="G30" s="34" t="str" cm="1">
        <f t="array" ref="G30">_xlfn.XLOOKUP("SLEEVE",Lists!$H:$H,CHOOSE(MATCH($J$1,Lists!$M$5:$M$7,0),Lists!$I:$I,Lists!$J:$J,Lists!$K:$K))</f>
        <v>Sleeve</v>
      </c>
      <c r="H30" s="34" t="str" cm="1">
        <f t="array" ref="H30">_xlfn.XLOOKUP("BICEP",Lists!$H:$H,CHOOSE(MATCH($J$1,Lists!$M$5:$M$7,0),Lists!$I:$I,Lists!$J:$J,Lists!$K:$K))</f>
        <v>Bicep</v>
      </c>
      <c r="I30" s="34" t="str" cm="1">
        <f t="array" ref="I30">_xlfn.XLOOKUP("COLLAR",Lists!$H:$H,CHOOSE(MATCH($J$1,Lists!$M$5:$M$7,0),Lists!$I:$I,Lists!$J:$J,Lists!$K:$K))</f>
        <v>Collar/Neck</v>
      </c>
      <c r="J30" s="95" t="str" cm="1">
        <f t="array" ref="J30">_xlfn.XLOOKUP("ELBOW",Lists!$H:$H,CHOOSE(MATCH($J$1,Lists!$M$5:$M$7,0),Lists!$I:$I,Lists!$J:$J,Lists!$K:$K))</f>
        <v>Elbow</v>
      </c>
    </row>
    <row r="31" spans="1:10">
      <c r="A31" s="35"/>
      <c r="B31" s="35"/>
      <c r="C31" s="35"/>
      <c r="D31" s="35"/>
      <c r="E31" s="35"/>
      <c r="F31" s="35"/>
      <c r="G31" s="35"/>
      <c r="H31" s="35"/>
      <c r="I31" s="35"/>
      <c r="J31" s="35"/>
    </row>
    <row r="32" spans="1:10">
      <c r="A32" s="95" t="str" cm="1">
        <f t="array" ref="A32">_xlfn.XLOOKUP("CUFF",Lists!$H:$H,CHOOSE(MATCH($J$1,Lists!$M$5:$M$7,0),Lists!$I:$I,Lists!$J:$J,Lists!$K:$K))</f>
        <v>Cuff</v>
      </c>
      <c r="B32" s="95" t="str" cm="1">
        <f t="array" ref="B32">_xlfn.XLOOKUP("ARMHOLE",Lists!$H:$H,CHOOSE(MATCH($J$1,Lists!$M$5:$M$7,0),Lists!$I:$I,Lists!$J:$J,Lists!$K:$K))</f>
        <v>Armhole</v>
      </c>
      <c r="C32" s="95" t="str" cm="1">
        <f t="array" ref="C32">_xlfn.XLOOKUP("CROSS_CHEST",Lists!$H:$H,CHOOSE(MATCH($J$1,Lists!$M$5:$M$7,0),Lists!$I:$I,Lists!$J:$J,Lists!$K:$K))</f>
        <v>Cross Chest</v>
      </c>
      <c r="D32" s="95" t="str" cm="1">
        <f t="array" ref="D32">_xlfn.XLOOKUP("FRONT_LENGTH",Lists!$H:$H,CHOOSE(MATCH($J$1,Lists!$M$5:$M$7,0),Lists!$I:$I,Lists!$J:$J,Lists!$K:$K))</f>
        <v>Front Length</v>
      </c>
      <c r="E32" s="95" t="str" cm="1">
        <f t="array" ref="E32">_xlfn.XLOOKUP("BACK_LENGTH",Lists!$H:$H,CHOOSE(MATCH($J$1,Lists!$M$5:$M$7,0),Lists!$I:$I,Lists!$J:$J,Lists!$K:$K))</f>
        <v>Back Length</v>
      </c>
      <c r="F32" s="95" t="str" cm="1">
        <f t="array" ref="F32">_xlfn.XLOOKUP("PANT_WAIST",Lists!$H:$H,CHOOSE(MATCH($J$1,Lists!$M$5:$M$7,0),Lists!$I:$I,Lists!$J:$J,Lists!$K:$K))</f>
        <v>Pant Waist</v>
      </c>
      <c r="G32" s="95" t="str" cm="1">
        <f t="array" ref="G32">_xlfn.XLOOKUP("INSEAM",Lists!$H:$H,CHOOSE(MATCH($J$1,Lists!$M$5:$M$7,0),Lists!$I:$I,Lists!$J:$J,Lists!$K:$K))</f>
        <v>Inseam</v>
      </c>
      <c r="H32" s="95" t="str" cm="1">
        <f t="array" ref="H32">_xlfn.XLOOKUP("OUTSEAM",Lists!$H:$H,CHOOSE(MATCH($J$1,Lists!$M$5:$M$7,0),Lists!$I:$I,Lists!$J:$J,Lists!$K:$K))</f>
        <v>Outseam</v>
      </c>
      <c r="I32" s="95" t="str" cm="1">
        <f t="array" ref="I32">_xlfn.XLOOKUP("THIGH",Lists!$H:$H,CHOOSE(MATCH($J$1,Lists!$M$5:$M$7,0),Lists!$I:$I,Lists!$J:$J,Lists!$K:$K))</f>
        <v>Thigh</v>
      </c>
      <c r="J32" s="95" t="str" cm="1">
        <f t="array" ref="J32">_xlfn.XLOOKUP("KNEE",Lists!$H:$H,CHOOSE(MATCH($J$1,Lists!$M$5:$M$7,0),Lists!$I:$I,Lists!$J:$J,Lists!$K:$K))</f>
        <v>Knee</v>
      </c>
    </row>
    <row r="33" spans="1:10">
      <c r="A33" s="35"/>
      <c r="B33" s="35"/>
      <c r="C33" s="35"/>
      <c r="D33" s="35"/>
      <c r="E33" s="35"/>
      <c r="F33" s="35"/>
      <c r="G33" s="35"/>
      <c r="H33" s="35"/>
      <c r="I33" s="35"/>
      <c r="J33" s="35"/>
    </row>
    <row r="34" spans="1:10">
      <c r="A34" s="95" t="str" cm="1">
        <f t="array" ref="A34">_xlfn.XLOOKUP("MOHRI",Lists!$H:$H,CHOOSE(MATCH($J$1,Lists!$M$5:$M$7,0),Lists!$I:$I,Lists!$J:$J,Lists!$K:$K))</f>
        <v>Bottom/Mohri</v>
      </c>
      <c r="B34" s="95" t="str" cm="1">
        <f t="array" ref="B34">_xlfn.XLOOKUP("SEAT",Lists!$H:$H,CHOOSE(MATCH($J$1,Lists!$M$5:$M$7,0),Lists!$I:$I,Lists!$J:$J,Lists!$K:$K))</f>
        <v>Seat</v>
      </c>
      <c r="C34" s="95" t="str" cm="1">
        <f t="array" ref="C34">_xlfn.XLOOKUP("RISE",Lists!$H:$H,CHOOSE(MATCH($J$1,Lists!$M$5:$M$7,0),Lists!$I:$I,Lists!$J:$J,Lists!$K:$K))</f>
        <v>Rise</v>
      </c>
      <c r="D34" s="100"/>
      <c r="E34" s="100"/>
      <c r="F34" s="100"/>
      <c r="G34" s="100"/>
      <c r="H34" s="96" t="str" cm="1">
        <f t="array" ref="H34">_xlfn.XLOOKUP("SKETCH",Lists!$H:$H,CHOOSE(MATCH($J$1,Lists!$M$5:$M$7,0),Lists!$I:$I,Lists!$J:$J,Lists!$K:$K))</f>
        <v>Sketch/Image Ref</v>
      </c>
      <c r="I34" s="96"/>
      <c r="J34" s="96"/>
    </row>
    <row r="35" spans="1:10">
      <c r="A35" s="35"/>
      <c r="B35" s="35"/>
      <c r="C35" s="35"/>
      <c r="D35" s="97"/>
      <c r="E35" s="97"/>
      <c r="F35" s="97"/>
      <c r="G35" s="97"/>
      <c r="H35" s="97"/>
      <c r="I35" s="97"/>
      <c r="J35" s="97"/>
    </row>
    <row r="36" spans="1:10" ht="28.05" customHeight="1"/>
    <row r="37" spans="1:10" ht="22.05" customHeight="1">
      <c r="A37" s="18" t="str" cm="1">
        <f t="array" ref="A37">_xlfn.XLOOKUP("CONTROLS",Lists!$H:$H,CHOOSE(MATCH($J$1,Lists!$M$5:$M$7,0),Lists!$I:$I,Lists!$J:$J,Lists!$K:$K))</f>
        <v>Controls</v>
      </c>
      <c r="B37" s="9"/>
      <c r="C37" s="9"/>
      <c r="D37" s="36" t="s">
        <v>18</v>
      </c>
      <c r="E37" s="36" t="s">
        <v>21</v>
      </c>
    </row>
    <row r="38" spans="1:10" ht="42.6" customHeight="1">
      <c r="A38" s="17"/>
      <c r="B38" s="17"/>
      <c r="C38" s="17"/>
      <c r="D38" s="37"/>
      <c r="E38" s="38"/>
    </row>
    <row r="39" spans="1:10" ht="31.95" customHeight="1">
      <c r="A39" s="98" t="str" cm="1">
        <f t="array" ref="A39">_xlfn.XLOOKUP("SUBMIT",Lists!$H:$H,CHOOSE(MATCH($J$1,Lists!$M$5:$M$7,0),Lists!$I:$I,Lists!$J:$J,Lists!$K:$K))</f>
        <v>Submit Booking</v>
      </c>
      <c r="B39" s="98"/>
      <c r="C39" s="99" t="str" cm="1">
        <f t="array" ref="C39">_xlfn.XLOOKUP("RESET",Lists!$H:$H,CHOOSE(MATCH($J$1,Lists!$M$5:$M$7,0),Lists!$I:$I,Lists!$J:$J,Lists!$K:$K))</f>
        <v>Reset Form</v>
      </c>
      <c r="D39" s="99"/>
    </row>
  </sheetData>
  <mergeCells count="6">
    <mergeCell ref="H34:J34"/>
    <mergeCell ref="H35:J35"/>
    <mergeCell ref="A39:B39"/>
    <mergeCell ref="C39:D39"/>
    <mergeCell ref="D34:G34"/>
    <mergeCell ref="D35:G35"/>
  </mergeCells>
  <dataValidations count="4">
    <dataValidation type="list" allowBlank="1" showInputMessage="1" showErrorMessage="1" errorTitle="Invalid" error="Pick New or Existing" sqref="B5" xr:uid="{402A1BD4-3DA5-4CC7-8423-AEECCE502461}">
      <formula1>"New,Existing"</formula1>
    </dataValidation>
    <dataValidation type="list" allowBlank="1" showInputMessage="1" showErrorMessage="1" errorTitle="Invalid" error="Yes/No" sqref="B9 B16" xr:uid="{C4C078D0-E6F5-4E14-BD81-EF05CCF75762}">
      <formula1>"Yes,No"</formula1>
    </dataValidation>
    <dataValidation type="list" allowBlank="1" showInputMessage="1" showErrorMessage="1" errorTitle="Invalid" error="Pick source" sqref="B12" xr:uid="{E220FCB7-7AD7-4051-9770-C23528832665}">
      <formula1>"Walk-in,WhatsApp,Phone,Referral,Other"</formula1>
    </dataValidation>
    <dataValidation type="list" allowBlank="1" showInputMessage="1" showErrorMessage="1" errorTitle="Invalid" error="Pick payment status" sqref="E27" xr:uid="{3E70D1F5-0B6B-4BFB-8439-84FCA6B6C056}">
      <formula1>"Unpaid,Part Paid,Paid,Refunded"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ubmitTailorOrder">
                <anchor moveWithCells="1" sizeWithCells="1">
                  <from>
                    <xdr:col>6</xdr:col>
                    <xdr:colOff>182880</xdr:colOff>
                    <xdr:row>19</xdr:row>
                    <xdr:rowOff>15240</xdr:rowOff>
                  </from>
                  <to>
                    <xdr:col>8</xdr:col>
                    <xdr:colOff>685800</xdr:colOff>
                    <xdr:row>22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4" name="Button 16">
              <controlPr defaultSize="0" print="0" autoFill="0" autoPict="0" macro="[0]!ResetTailorForm">
                <anchor moveWithCells="1">
                  <from>
                    <xdr:col>6</xdr:col>
                    <xdr:colOff>190500</xdr:colOff>
                    <xdr:row>14</xdr:row>
                    <xdr:rowOff>167640</xdr:rowOff>
                  </from>
                  <to>
                    <xdr:col>8</xdr:col>
                    <xdr:colOff>701040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ubmitTailorOrder">
                <anchor moveWithCells="1" sizeWithCells="1">
                  <from>
                    <xdr:col>0</xdr:col>
                    <xdr:colOff>22860</xdr:colOff>
                    <xdr:row>37</xdr:row>
                    <xdr:rowOff>312420</xdr:rowOff>
                  </from>
                  <to>
                    <xdr:col>2</xdr:col>
                    <xdr:colOff>7620</xdr:colOff>
                    <xdr:row>39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ResetTailorForm">
                <anchor moveWithCells="1" sizeWithCells="1">
                  <from>
                    <xdr:col>2</xdr:col>
                    <xdr:colOff>15240</xdr:colOff>
                    <xdr:row>37</xdr:row>
                    <xdr:rowOff>304800</xdr:rowOff>
                  </from>
                  <to>
                    <xdr:col>4</xdr:col>
                    <xdr:colOff>68580</xdr:colOff>
                    <xdr:row>39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Invalid" error="Pick English / ਪੰਜਾਬੀ / हिन्दी" xr:uid="{6EF05507-9312-4817-9220-E1BED9B3A4CE}">
          <x14:formula1>
            <xm:f>Lists!$M$5:$M$7</xm:f>
          </x14:formula1>
          <xm:sqref>J1</xm:sqref>
        </x14:dataValidation>
        <x14:dataValidation type="list" allowBlank="1" showInputMessage="1" showErrorMessage="1" errorTitle="Invalid" error="Pick customer from list" xr:uid="{571CF9B5-4DB1-4AC2-A671-7AEEEB53F189}">
          <x14:formula1>
            <xm:f>Lists!$N$5:$N$504</xm:f>
          </x14:formula1>
          <xm:sqref>E5</xm:sqref>
        </x14:dataValidation>
        <x14:dataValidation type="list" allowBlank="1" showInputMessage="1" showErrorMessage="1" errorTitle="Invalid" error="Pick fit" xr:uid="{2E77B3F8-3CB1-44A6-8442-226754479BFB}">
          <x14:formula1>
            <xm:f>Lists!$C$5:$C$9</xm:f>
          </x14:formula1>
          <xm:sqref>B11</xm:sqref>
        </x14:dataValidation>
        <x14:dataValidation type="list" allowBlank="1" showInputMessage="1" showErrorMessage="1" errorTitle="Invalid" error="Pick item type" xr:uid="{C3250B4F-EC3F-45E6-B85C-81B91D54D25F}">
          <x14:formula1>
            <xm:f>Lists!$A$5:$A$15</xm:f>
          </x14:formula1>
          <xm:sqref>B22</xm:sqref>
        </x14:dataValidation>
        <x14:dataValidation type="list" allowBlank="1" showInputMessage="1" showErrorMessage="1" errorTitle="Invalid" error="Pick status" xr:uid="{6CEB8C6C-DDFB-4C2D-AEB8-D90192BF801C}">
          <x14:formula1>
            <xm:f>Lists!$B$5:$B$12</xm:f>
          </x14:formula1>
          <xm:sqref>B25</xm:sqref>
        </x14:dataValidation>
        <x14:dataValidation type="list" allowBlank="1" showInputMessage="1" showErrorMessage="1" errorTitle="Invalid" error="Pick priority" xr:uid="{E0E6B318-C01F-42E8-98B4-7C5C5E624D27}">
          <x14:formula1>
            <xm:f>Lists!$E$5:$E$7</xm:f>
          </x14:formula1>
          <xm:sqref>B26</xm:sqref>
        </x14:dataValidation>
        <x14:dataValidation type="list" allowBlank="1" showInputMessage="1" showErrorMessage="1" errorTitle="Invalid" error="Pick staff" xr:uid="{843F72DB-6B2C-455A-9037-8334EB664104}">
          <x14:formula1>
            <xm:f>Lists!$F$5:$F$9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6"/>
  <sheetViews>
    <sheetView workbookViewId="0">
      <selection activeCell="A6" sqref="A6"/>
    </sheetView>
  </sheetViews>
  <sheetFormatPr defaultRowHeight="13.8"/>
  <cols>
    <col min="1" max="1" width="14" customWidth="1"/>
    <col min="2" max="2" width="24" customWidth="1"/>
    <col min="3" max="4" width="17" style="93" customWidth="1"/>
    <col min="5" max="5" width="12" customWidth="1"/>
    <col min="6" max="6" width="32" customWidth="1"/>
    <col min="7" max="7" width="18" customWidth="1"/>
    <col min="8" max="8" width="14" customWidth="1"/>
    <col min="9" max="9" width="36" customWidth="1"/>
    <col min="10" max="10" width="14" customWidth="1"/>
    <col min="11" max="11" width="10" customWidth="1"/>
  </cols>
  <sheetData>
    <row r="1" spans="1:32" ht="22.35" customHeight="1">
      <c r="A1" s="101" t="s">
        <v>7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27.15" customHeight="1">
      <c r="A2" s="102" t="s">
        <v>63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</row>
    <row r="4" spans="1:32">
      <c r="A4" s="1" t="s">
        <v>20</v>
      </c>
      <c r="B4" s="1" t="s">
        <v>22</v>
      </c>
      <c r="C4" s="91" t="s">
        <v>24</v>
      </c>
      <c r="D4" s="91" t="s">
        <v>25</v>
      </c>
      <c r="E4" s="1" t="s">
        <v>26</v>
      </c>
      <c r="F4" s="1" t="s">
        <v>27</v>
      </c>
      <c r="G4" s="1" t="s">
        <v>23</v>
      </c>
      <c r="H4" s="1" t="s">
        <v>29</v>
      </c>
      <c r="I4" s="1" t="s">
        <v>0</v>
      </c>
      <c r="J4" s="1" t="s">
        <v>28</v>
      </c>
      <c r="K4" s="1" t="s">
        <v>30</v>
      </c>
    </row>
    <row r="5" spans="1:32">
      <c r="A5" t="s">
        <v>64</v>
      </c>
      <c r="B5" t="s">
        <v>416</v>
      </c>
      <c r="C5" s="92" t="s">
        <v>385</v>
      </c>
      <c r="D5" s="92" t="s">
        <v>386</v>
      </c>
      <c r="E5" t="s">
        <v>66</v>
      </c>
      <c r="F5" t="s">
        <v>414</v>
      </c>
      <c r="G5" t="s">
        <v>67</v>
      </c>
      <c r="H5" t="s">
        <v>68</v>
      </c>
      <c r="I5" t="s">
        <v>417</v>
      </c>
      <c r="J5">
        <v>46169</v>
      </c>
      <c r="K5" t="s">
        <v>66</v>
      </c>
    </row>
    <row r="6" spans="1:32">
      <c r="A6" t="s">
        <v>69</v>
      </c>
      <c r="B6" t="s">
        <v>422</v>
      </c>
      <c r="C6" s="93" t="s">
        <v>419</v>
      </c>
      <c r="E6" t="s">
        <v>66</v>
      </c>
      <c r="F6" t="s">
        <v>420</v>
      </c>
      <c r="G6" t="s">
        <v>67</v>
      </c>
      <c r="H6" t="s">
        <v>70</v>
      </c>
      <c r="I6" t="s">
        <v>421</v>
      </c>
      <c r="J6" s="5">
        <v>46169</v>
      </c>
      <c r="K6" t="s">
        <v>66</v>
      </c>
    </row>
  </sheetData>
  <mergeCells count="2">
    <mergeCell ref="A1:K1"/>
    <mergeCell ref="A2:K2"/>
  </mergeCells>
  <dataValidations count="1">
    <dataValidation type="list" sqref="K5:K6 E5:E6" xr:uid="{00000000-0002-0000-0200-000001000000}">
      <formula1>"Yes,No"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200-000000000000}">
          <x14:formula1>
            <xm:f>Lists!$C$5:$C$9</xm:f>
          </x14:formula1>
          <xm:sqref>H5:H6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7"/>
  <sheetViews>
    <sheetView workbookViewId="0">
      <selection activeCell="F6" sqref="F6"/>
    </sheetView>
  </sheetViews>
  <sheetFormatPr defaultRowHeight="13.8"/>
  <cols>
    <col min="1" max="1" width="18" customWidth="1"/>
    <col min="2" max="2" width="10" customWidth="1"/>
    <col min="3" max="3" width="8.8984375" bestFit="1" customWidth="1"/>
    <col min="4" max="4" width="14" customWidth="1"/>
    <col min="5" max="5" width="22" customWidth="1"/>
    <col min="6" max="6" width="17" style="93" customWidth="1"/>
    <col min="7" max="9" width="14" customWidth="1"/>
    <col min="10" max="10" width="9.8984375" bestFit="1" customWidth="1"/>
    <col min="11" max="11" width="11" customWidth="1"/>
    <col min="12" max="12" width="18" customWidth="1"/>
    <col min="13" max="13" width="14" customWidth="1"/>
    <col min="14" max="14" width="20" customWidth="1"/>
    <col min="15" max="15" width="8" customWidth="1"/>
    <col min="16" max="16" width="11" customWidth="1"/>
    <col min="17" max="19" width="12" customWidth="1"/>
    <col min="20" max="21" width="14" customWidth="1"/>
  </cols>
  <sheetData>
    <row r="1" spans="1:32" ht="22.35" customHeight="1">
      <c r="A1" s="101" t="s">
        <v>71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27.15" customHeight="1">
      <c r="A2" s="102" t="s">
        <v>72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</row>
    <row r="4" spans="1:32" ht="27.6">
      <c r="A4" s="1" t="s">
        <v>33</v>
      </c>
      <c r="B4" s="1" t="s">
        <v>35</v>
      </c>
      <c r="C4" s="1" t="s">
        <v>37</v>
      </c>
      <c r="D4" s="1" t="s">
        <v>20</v>
      </c>
      <c r="E4" s="1" t="s">
        <v>22</v>
      </c>
      <c r="F4" s="91" t="s">
        <v>24</v>
      </c>
      <c r="G4" s="1" t="s">
        <v>39</v>
      </c>
      <c r="H4" s="1" t="s">
        <v>41</v>
      </c>
      <c r="I4" s="1" t="s">
        <v>43</v>
      </c>
      <c r="J4" s="1" t="s">
        <v>73</v>
      </c>
      <c r="K4" s="1" t="s">
        <v>74</v>
      </c>
      <c r="L4" s="1" t="s">
        <v>45</v>
      </c>
      <c r="M4" s="1" t="s">
        <v>48</v>
      </c>
      <c r="N4" s="1" t="s">
        <v>50</v>
      </c>
      <c r="O4" s="1" t="s">
        <v>34</v>
      </c>
      <c r="P4" s="1" t="s">
        <v>36</v>
      </c>
      <c r="Q4" s="1" t="s">
        <v>38</v>
      </c>
      <c r="R4" s="1" t="s">
        <v>40</v>
      </c>
      <c r="S4" s="1" t="s">
        <v>42</v>
      </c>
      <c r="T4" s="1" t="s">
        <v>44</v>
      </c>
      <c r="U4" s="1" t="s">
        <v>1</v>
      </c>
    </row>
    <row r="5" spans="1:32">
      <c r="A5" t="s">
        <v>216</v>
      </c>
      <c r="B5">
        <v>1</v>
      </c>
      <c r="C5">
        <v>1</v>
      </c>
      <c r="D5" t="s">
        <v>64</v>
      </c>
      <c r="E5" t="s">
        <v>65</v>
      </c>
      <c r="F5" s="93" t="s">
        <v>423</v>
      </c>
      <c r="G5" s="5">
        <v>46169</v>
      </c>
      <c r="I5" s="5">
        <v>46183</v>
      </c>
      <c r="J5" s="12">
        <f ca="1">OrdersTable[[#This Row],[Delivery Date]]-TODAY()</f>
        <v>14</v>
      </c>
      <c r="K5" t="str">
        <f ca="1">IF(AND(OrdersTable[[#This Row],[Delivery Date]]&lt;&gt;"",OrdersTable[[#This Row],[Delivery Date]]&lt;TODAY(),OrdersTable[[#This Row],[Status]]&lt;&gt;"Delivered",OrdersTable[[#This Row],[Status]]&lt;&gt;"Cancelled"),"YES","")</f>
        <v/>
      </c>
      <c r="L5" t="s">
        <v>46</v>
      </c>
      <c r="M5" t="s">
        <v>387</v>
      </c>
      <c r="N5" t="s">
        <v>77</v>
      </c>
      <c r="O5">
        <v>1</v>
      </c>
      <c r="P5">
        <v>200000</v>
      </c>
      <c r="Q5">
        <f>IFERROR(OrdersTable[[#This Row],[Qty]]*OrdersTable[[#This Row],[Rate]],0)</f>
        <v>200000</v>
      </c>
      <c r="R5">
        <v>140000</v>
      </c>
      <c r="S5">
        <f>OrdersTable[[#This Row],[Amount]]-OrdersTable[[#This Row],[Advance]]</f>
        <v>60000</v>
      </c>
      <c r="T5" t="str">
        <f>IF(OrdersTable[[#This Row],[Amount]]=0,"Unpaid",IF(OrdersTable[[#This Row],[Balance]]&lt;=0,"Paid",IF(OrdersTable[[#This Row],[Advance]]&gt;0,"Part Paid","Unpaid")))</f>
        <v>Part Paid</v>
      </c>
      <c r="U5" t="s">
        <v>47</v>
      </c>
    </row>
    <row r="6" spans="1:32">
      <c r="A6" t="s">
        <v>415</v>
      </c>
      <c r="B6">
        <v>1</v>
      </c>
      <c r="C6">
        <v>2</v>
      </c>
      <c r="D6" t="s">
        <v>64</v>
      </c>
      <c r="E6" t="s">
        <v>65</v>
      </c>
      <c r="F6" s="93" t="s">
        <v>423</v>
      </c>
      <c r="G6" s="5">
        <v>46169</v>
      </c>
      <c r="I6" s="5">
        <v>46183</v>
      </c>
      <c r="J6">
        <f ca="1">OrdersTable[[#This Row],[Delivery Date]]-TODAY()</f>
        <v>14</v>
      </c>
      <c r="K6" t="str">
        <f ca="1">IF(AND(OrdersTable[[#This Row],[Delivery Date]]&lt;&gt;"",OrdersTable[[#This Row],[Delivery Date]]&lt;TODAY(),OrdersTable[[#This Row],[Status]]&lt;&gt;"Delivered",OrdersTable[[#This Row],[Status]]&lt;&gt;"Cancelled"),"YES","")</f>
        <v/>
      </c>
      <c r="L6" t="s">
        <v>76</v>
      </c>
      <c r="M6" t="s">
        <v>387</v>
      </c>
      <c r="N6" t="s">
        <v>412</v>
      </c>
      <c r="O6">
        <v>1</v>
      </c>
      <c r="P6">
        <v>50000</v>
      </c>
      <c r="Q6">
        <f>IFERROR(OrdersTable[[#This Row],[Qty]]*OrdersTable[[#This Row],[Rate]],0)</f>
        <v>50000</v>
      </c>
      <c r="R6">
        <v>24000</v>
      </c>
      <c r="S6">
        <f>OrdersTable[[#This Row],[Amount]]-OrdersTable[[#This Row],[Advance]]</f>
        <v>26000</v>
      </c>
      <c r="T6" t="str">
        <f>IF(OrdersTable[[#This Row],[Amount]]=0,"Unpaid",IF(OrdersTable[[#This Row],[Balance]]&lt;=0,"Paid",IF(OrdersTable[[#This Row],[Advance]]&gt;0,"Part Paid","Unpaid")))</f>
        <v>Part Paid</v>
      </c>
      <c r="U6" t="s">
        <v>47</v>
      </c>
    </row>
    <row r="7" spans="1:32">
      <c r="A7" t="s">
        <v>381</v>
      </c>
      <c r="B7">
        <v>2</v>
      </c>
      <c r="C7">
        <v>1</v>
      </c>
      <c r="D7" t="s">
        <v>69</v>
      </c>
      <c r="E7" t="s">
        <v>422</v>
      </c>
      <c r="F7" s="93" t="s">
        <v>419</v>
      </c>
      <c r="G7" s="5">
        <v>46169</v>
      </c>
      <c r="I7" s="5">
        <v>46183</v>
      </c>
      <c r="J7">
        <f ca="1">OrdersTable[[#This Row],[Delivery Date]]-TODAY()</f>
        <v>14</v>
      </c>
      <c r="K7" t="str">
        <f ca="1">IF(AND(OrdersTable[[#This Row],[Delivery Date]]&lt;&gt;"",OrdersTable[[#This Row],[Delivery Date]]&lt;TODAY(),OrdersTable[[#This Row],[Status]]&lt;&gt;"Delivered",OrdersTable[[#This Row],[Status]]&lt;&gt;"Cancelled"),"YES","")</f>
        <v/>
      </c>
      <c r="L7" t="s">
        <v>132</v>
      </c>
      <c r="M7" t="s">
        <v>75</v>
      </c>
      <c r="N7" t="s">
        <v>77</v>
      </c>
      <c r="O7">
        <v>2</v>
      </c>
      <c r="P7">
        <v>90000</v>
      </c>
      <c r="Q7">
        <f>IFERROR(OrdersTable[[#This Row],[Qty]]*OrdersTable[[#This Row],[Rate]],0)</f>
        <v>180000</v>
      </c>
      <c r="R7">
        <v>70000</v>
      </c>
      <c r="S7">
        <f>OrdersTable[[#This Row],[Amount]]-OrdersTable[[#This Row],[Advance]]</f>
        <v>110000</v>
      </c>
      <c r="T7" t="str">
        <f>IF(OrdersTable[[#This Row],[Amount]]=0,"Unpaid",IF(OrdersTable[[#This Row],[Balance]]&lt;=0,"Paid",IF(OrdersTable[[#This Row],[Advance]]&gt;0,"Part Paid","Unpaid")))</f>
        <v>Part Paid</v>
      </c>
      <c r="U7" t="s">
        <v>47</v>
      </c>
    </row>
  </sheetData>
  <mergeCells count="2">
    <mergeCell ref="A1:U1"/>
    <mergeCell ref="A2:U2"/>
  </mergeCells>
  <conditionalFormatting sqref="K5:K7">
    <cfRule type="expression" dxfId="4" priority="1">
      <formula>$K5="YES"</formula>
    </cfRule>
  </conditionalFormatting>
  <conditionalFormatting sqref="U5:U7">
    <cfRule type="expression" dxfId="3" priority="2">
      <formula>$U5="Delivered"</formula>
    </cfRule>
    <cfRule type="expression" dxfId="2" priority="3">
      <formula>$U5="Ready"</formula>
    </cfRule>
    <cfRule type="expression" dxfId="1" priority="4">
      <formula>$U5="Trial Pending"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xr:uid="{00000000-0002-0000-0300-000001000000}">
          <x14:formula1>
            <xm:f>Lists!$A$5:$A$15</xm:f>
          </x14:formula1>
          <xm:sqref>L5:L7</xm:sqref>
        </x14:dataValidation>
        <x14:dataValidation type="list" xr:uid="{00000000-0002-0000-0300-000002000000}">
          <x14:formula1>
            <xm:f>Lists!$B$5:$B$12</xm:f>
          </x14:formula1>
          <xm:sqref>U5:U7</xm:sqref>
        </x14:dataValidation>
        <x14:dataValidation type="list" xr:uid="{00000000-0002-0000-0300-000003000000}">
          <x14:formula1>
            <xm:f>Lists!$D$5:$D$8</xm:f>
          </x14:formula1>
          <xm:sqref>T5:T7</xm:sqref>
        </x14:dataValidation>
        <x14:dataValidation type="list" xr:uid="{00000000-0002-0000-0300-000000000000}">
          <x14:formula1>
            <xm:f>Customers!#REF!</xm:f>
          </x14:formula1>
          <xm:sqref>D5:D7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"/>
  <sheetViews>
    <sheetView workbookViewId="0">
      <selection activeCell="Q4" sqref="Q4:AE4"/>
    </sheetView>
  </sheetViews>
  <sheetFormatPr defaultRowHeight="13.8"/>
  <cols>
    <col min="1" max="1" width="14" customWidth="1"/>
    <col min="2" max="2" width="18" customWidth="1"/>
    <col min="3" max="3" width="14" customWidth="1"/>
    <col min="4" max="4" width="22" customWidth="1"/>
    <col min="5" max="5" width="18" customWidth="1"/>
    <col min="6" max="6" width="12" customWidth="1"/>
    <col min="7" max="15" width="10" customWidth="1"/>
    <col min="16" max="16" width="12" customWidth="1"/>
    <col min="17" max="17" width="10" customWidth="1"/>
    <col min="18" max="18" width="12" customWidth="1"/>
    <col min="19" max="21" width="14" customWidth="1"/>
    <col min="22" max="24" width="12" customWidth="1"/>
    <col min="25" max="26" width="10" customWidth="1"/>
    <col min="27" max="27" width="12" customWidth="1"/>
    <col min="28" max="29" width="10" customWidth="1"/>
    <col min="30" max="30" width="32" customWidth="1"/>
    <col min="31" max="31" width="24" customWidth="1"/>
    <col min="32" max="32" width="15" bestFit="1" customWidth="1"/>
  </cols>
  <sheetData>
    <row r="1" spans="1:32" ht="22.35" customHeight="1">
      <c r="A1" s="101" t="s">
        <v>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</row>
    <row r="2" spans="1:32" ht="27.15" customHeight="1">
      <c r="A2" s="102" t="s">
        <v>79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</row>
    <row r="4" spans="1:32" ht="27.6">
      <c r="A4" s="1" t="s">
        <v>80</v>
      </c>
      <c r="B4" s="1" t="s">
        <v>33</v>
      </c>
      <c r="C4" s="1" t="s">
        <v>20</v>
      </c>
      <c r="D4" s="1" t="s">
        <v>22</v>
      </c>
      <c r="E4" s="1" t="s">
        <v>45</v>
      </c>
      <c r="F4" s="1" t="s">
        <v>81</v>
      </c>
      <c r="G4" s="1" t="s">
        <v>52</v>
      </c>
      <c r="H4" s="1" t="s">
        <v>53</v>
      </c>
      <c r="I4" s="1" t="s">
        <v>54</v>
      </c>
      <c r="J4" s="1" t="s">
        <v>55</v>
      </c>
      <c r="K4" s="1" t="s">
        <v>56</v>
      </c>
      <c r="L4" s="1" t="s">
        <v>57</v>
      </c>
      <c r="M4" s="1" t="s">
        <v>58</v>
      </c>
      <c r="N4" s="1" t="s">
        <v>59</v>
      </c>
      <c r="O4" s="1" t="s">
        <v>82</v>
      </c>
      <c r="P4" s="1" t="s">
        <v>60</v>
      </c>
      <c r="Q4" s="1" t="s">
        <v>83</v>
      </c>
      <c r="R4" s="1" t="s">
        <v>84</v>
      </c>
      <c r="S4" s="1" t="s">
        <v>85</v>
      </c>
      <c r="T4" s="1" t="s">
        <v>86</v>
      </c>
      <c r="U4" s="1" t="s">
        <v>87</v>
      </c>
      <c r="V4" s="1" t="s">
        <v>88</v>
      </c>
      <c r="W4" s="1" t="s">
        <v>89</v>
      </c>
      <c r="X4" s="1" t="s">
        <v>90</v>
      </c>
      <c r="Y4" s="1" t="s">
        <v>91</v>
      </c>
      <c r="Z4" s="1" t="s">
        <v>92</v>
      </c>
      <c r="AA4" s="1" t="s">
        <v>93</v>
      </c>
      <c r="AB4" s="1" t="s">
        <v>94</v>
      </c>
      <c r="AC4" s="1" t="s">
        <v>95</v>
      </c>
      <c r="AD4" s="1" t="s">
        <v>0</v>
      </c>
      <c r="AE4" s="1" t="s">
        <v>96</v>
      </c>
      <c r="AF4" s="1" t="s">
        <v>97</v>
      </c>
    </row>
    <row r="5" spans="1:32">
      <c r="A5" t="s">
        <v>383</v>
      </c>
      <c r="B5" t="s">
        <v>216</v>
      </c>
      <c r="C5" t="s">
        <v>64</v>
      </c>
      <c r="D5" t="s">
        <v>65</v>
      </c>
      <c r="E5" t="s">
        <v>46</v>
      </c>
      <c r="F5" t="s">
        <v>68</v>
      </c>
      <c r="G5">
        <v>30</v>
      </c>
      <c r="H5">
        <v>44</v>
      </c>
      <c r="I5">
        <v>4</v>
      </c>
      <c r="J5">
        <v>39</v>
      </c>
      <c r="K5">
        <v>41</v>
      </c>
      <c r="L5">
        <v>19</v>
      </c>
      <c r="M5">
        <v>22</v>
      </c>
      <c r="N5">
        <v>18</v>
      </c>
      <c r="O5">
        <v>10</v>
      </c>
      <c r="P5">
        <v>19</v>
      </c>
      <c r="AD5" t="s">
        <v>0</v>
      </c>
      <c r="AF5" s="6">
        <v>46169.449884259258</v>
      </c>
    </row>
    <row r="6" spans="1:32">
      <c r="A6" t="s">
        <v>384</v>
      </c>
      <c r="B6" t="s">
        <v>415</v>
      </c>
      <c r="C6" t="s">
        <v>64</v>
      </c>
      <c r="D6" t="s">
        <v>65</v>
      </c>
      <c r="E6" t="s">
        <v>76</v>
      </c>
      <c r="F6" t="s">
        <v>68</v>
      </c>
      <c r="G6">
        <v>10</v>
      </c>
      <c r="H6">
        <v>20</v>
      </c>
      <c r="I6">
        <v>1</v>
      </c>
      <c r="J6">
        <v>20</v>
      </c>
      <c r="K6">
        <v>20</v>
      </c>
      <c r="L6">
        <v>15</v>
      </c>
      <c r="M6">
        <v>15</v>
      </c>
      <c r="N6">
        <v>15</v>
      </c>
      <c r="P6">
        <v>15</v>
      </c>
      <c r="AD6" t="s">
        <v>413</v>
      </c>
      <c r="AF6" s="6">
        <v>46169.55195601852</v>
      </c>
    </row>
    <row r="7" spans="1:32">
      <c r="A7" t="s">
        <v>382</v>
      </c>
      <c r="B7" t="s">
        <v>381</v>
      </c>
      <c r="C7" t="s">
        <v>69</v>
      </c>
      <c r="D7" t="s">
        <v>422</v>
      </c>
      <c r="E7" t="s">
        <v>132</v>
      </c>
      <c r="F7" t="s">
        <v>70</v>
      </c>
      <c r="G7">
        <v>10</v>
      </c>
      <c r="H7">
        <v>20</v>
      </c>
      <c r="I7">
        <v>1</v>
      </c>
      <c r="J7">
        <v>20</v>
      </c>
      <c r="K7">
        <v>20</v>
      </c>
      <c r="L7">
        <v>20</v>
      </c>
      <c r="M7">
        <v>20</v>
      </c>
      <c r="N7">
        <v>20</v>
      </c>
      <c r="P7">
        <v>20</v>
      </c>
      <c r="AD7" t="s">
        <v>68</v>
      </c>
      <c r="AF7" s="6">
        <v>46169.557083333333</v>
      </c>
    </row>
  </sheetData>
  <mergeCells count="2">
    <mergeCell ref="A1:AF1"/>
    <mergeCell ref="A2:AF2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xr:uid="{00000000-0002-0000-0400-000002000000}">
          <x14:formula1>
            <xm:f>Lists!$C$5:$C$9</xm:f>
          </x14:formula1>
          <xm:sqref>F5:F7</xm:sqref>
        </x14:dataValidation>
        <x14:dataValidation type="list" xr:uid="{00000000-0002-0000-0400-000001000000}">
          <x14:formula1>
            <xm:f>Customers!#REF!</xm:f>
          </x14:formula1>
          <xm:sqref>C5:C7</xm:sqref>
        </x14:dataValidation>
        <x14:dataValidation type="list" xr:uid="{00000000-0002-0000-0400-000000000000}">
          <x14:formula1>
            <xm:f>Orders!#REF!</xm:f>
          </x14:formula1>
          <xm:sqref>B5:B7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504"/>
  <sheetViews>
    <sheetView workbookViewId="0">
      <selection activeCell="N7" sqref="N7"/>
    </sheetView>
  </sheetViews>
  <sheetFormatPr defaultRowHeight="13.8"/>
  <cols>
    <col min="1" max="1" width="11.69921875" bestFit="1" customWidth="1"/>
    <col min="2" max="2" width="11.59765625" bestFit="1" customWidth="1"/>
    <col min="3" max="3" width="9" bestFit="1" customWidth="1"/>
    <col min="4" max="4" width="14.796875" bestFit="1" customWidth="1"/>
    <col min="5" max="5" width="11.19921875" bestFit="1" customWidth="1"/>
    <col min="6" max="6" width="11.5" bestFit="1" customWidth="1"/>
    <col min="8" max="8" width="16" bestFit="1" customWidth="1"/>
    <col min="9" max="9" width="22" bestFit="1" customWidth="1"/>
    <col min="10" max="10" width="19.796875" bestFit="1" customWidth="1"/>
    <col min="11" max="11" width="15.296875" bestFit="1" customWidth="1"/>
    <col min="13" max="13" width="10.5" bestFit="1" customWidth="1"/>
    <col min="14" max="14" width="25.8984375" bestFit="1" customWidth="1"/>
  </cols>
  <sheetData>
    <row r="1" spans="1:32" ht="21">
      <c r="A1" s="101" t="s">
        <v>107</v>
      </c>
      <c r="B1" s="101"/>
      <c r="C1" s="101"/>
      <c r="D1" s="101"/>
      <c r="E1" s="101"/>
      <c r="F1" s="101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4.4">
      <c r="A2" s="102" t="s">
        <v>108</v>
      </c>
      <c r="B2" s="102"/>
      <c r="C2" s="102"/>
      <c r="D2" s="102"/>
      <c r="E2" s="102"/>
      <c r="F2" s="102"/>
    </row>
    <row r="4" spans="1:32">
      <c r="A4" s="1" t="s">
        <v>109</v>
      </c>
      <c r="B4" s="1" t="s">
        <v>110</v>
      </c>
      <c r="C4" s="1" t="s">
        <v>111</v>
      </c>
      <c r="D4" s="1" t="s">
        <v>44</v>
      </c>
      <c r="E4" s="1" t="s">
        <v>112</v>
      </c>
      <c r="F4" s="1" t="s">
        <v>113</v>
      </c>
      <c r="H4" s="7" t="s">
        <v>217</v>
      </c>
      <c r="I4" s="7" t="s">
        <v>218</v>
      </c>
      <c r="J4" s="8" t="s">
        <v>219</v>
      </c>
      <c r="K4" s="8" t="s">
        <v>220</v>
      </c>
      <c r="M4" s="8" t="s">
        <v>349</v>
      </c>
      <c r="N4" s="8" t="s">
        <v>352</v>
      </c>
    </row>
    <row r="5" spans="1:32">
      <c r="A5" t="s">
        <v>76</v>
      </c>
      <c r="B5" t="s">
        <v>47</v>
      </c>
      <c r="C5" t="s">
        <v>70</v>
      </c>
      <c r="D5" t="s">
        <v>114</v>
      </c>
      <c r="E5" t="s">
        <v>49</v>
      </c>
      <c r="F5" t="s">
        <v>10</v>
      </c>
      <c r="H5" t="s">
        <v>221</v>
      </c>
      <c r="I5" t="s">
        <v>13</v>
      </c>
      <c r="J5" t="s">
        <v>222</v>
      </c>
      <c r="K5" t="s">
        <v>223</v>
      </c>
      <c r="M5" t="s">
        <v>218</v>
      </c>
      <c r="N5" t="str">
        <f>IF(Customers!A5="","",Customers!A5&amp;" — "&amp;Customers!B5)</f>
        <v>CUST-0001 — Jasmeet Singh</v>
      </c>
    </row>
    <row r="6" spans="1:32">
      <c r="A6" t="s">
        <v>115</v>
      </c>
      <c r="B6" t="s">
        <v>101</v>
      </c>
      <c r="C6" t="s">
        <v>68</v>
      </c>
      <c r="D6" t="s">
        <v>116</v>
      </c>
      <c r="E6" t="s">
        <v>117</v>
      </c>
      <c r="F6" t="s">
        <v>118</v>
      </c>
      <c r="H6" t="s">
        <v>224</v>
      </c>
      <c r="I6" t="s">
        <v>14</v>
      </c>
      <c r="J6" t="s">
        <v>225</v>
      </c>
      <c r="K6" t="s">
        <v>226</v>
      </c>
      <c r="M6" t="s">
        <v>350</v>
      </c>
      <c r="N6" t="str">
        <f>IF(Customers!A6="","",Customers!A6&amp;" — "&amp;Customers!B6)</f>
        <v>CUST-0002 — Jaskiran Singh</v>
      </c>
    </row>
    <row r="7" spans="1:32">
      <c r="A7" t="s">
        <v>119</v>
      </c>
      <c r="B7" t="s">
        <v>78</v>
      </c>
      <c r="C7" t="s">
        <v>120</v>
      </c>
      <c r="D7" t="s">
        <v>121</v>
      </c>
      <c r="E7" t="s">
        <v>122</v>
      </c>
      <c r="F7" t="s">
        <v>123</v>
      </c>
      <c r="H7" t="s">
        <v>227</v>
      </c>
      <c r="I7" t="s">
        <v>15</v>
      </c>
      <c r="J7" t="s">
        <v>228</v>
      </c>
      <c r="K7" t="s">
        <v>229</v>
      </c>
      <c r="M7" t="s">
        <v>351</v>
      </c>
      <c r="N7" t="str">
        <f>IF(Customers!A7="","",Customers!A7&amp;" — "&amp;Customers!B7)</f>
        <v/>
      </c>
    </row>
    <row r="8" spans="1:32">
      <c r="A8" t="s">
        <v>46</v>
      </c>
      <c r="B8" t="s">
        <v>102</v>
      </c>
      <c r="C8" t="s">
        <v>124</v>
      </c>
      <c r="D8" t="s">
        <v>125</v>
      </c>
      <c r="F8" t="s">
        <v>126</v>
      </c>
      <c r="H8" t="s">
        <v>230</v>
      </c>
      <c r="I8" t="s">
        <v>19</v>
      </c>
      <c r="J8" t="s">
        <v>231</v>
      </c>
      <c r="K8" t="s">
        <v>232</v>
      </c>
      <c r="N8" t="str">
        <f>IF(Customers!A8="","",Customers!A8&amp;" — "&amp;Customers!B8)</f>
        <v/>
      </c>
    </row>
    <row r="9" spans="1:32">
      <c r="A9" t="s">
        <v>127</v>
      </c>
      <c r="B9" t="s">
        <v>103</v>
      </c>
      <c r="C9" t="s">
        <v>128</v>
      </c>
      <c r="F9" t="s">
        <v>5</v>
      </c>
      <c r="H9" t="s">
        <v>233</v>
      </c>
      <c r="I9" t="s">
        <v>22</v>
      </c>
      <c r="J9" t="s">
        <v>234</v>
      </c>
      <c r="K9" t="s">
        <v>235</v>
      </c>
      <c r="N9" t="str">
        <f>IF(Customers!A9="","",Customers!A9&amp;" — "&amp;Customers!B9)</f>
        <v/>
      </c>
    </row>
    <row r="10" spans="1:32">
      <c r="A10" t="s">
        <v>129</v>
      </c>
      <c r="B10" t="s">
        <v>4</v>
      </c>
      <c r="H10" t="s">
        <v>236</v>
      </c>
      <c r="I10" t="s">
        <v>24</v>
      </c>
      <c r="J10" t="s">
        <v>237</v>
      </c>
      <c r="K10" t="s">
        <v>238</v>
      </c>
      <c r="N10" t="str">
        <f>IF(Customers!A10="","",Customers!A10&amp;" — "&amp;Customers!B10)</f>
        <v/>
      </c>
    </row>
    <row r="11" spans="1:32">
      <c r="A11" t="s">
        <v>130</v>
      </c>
      <c r="B11" t="s">
        <v>105</v>
      </c>
      <c r="H11" t="s">
        <v>239</v>
      </c>
      <c r="I11" t="s">
        <v>26</v>
      </c>
      <c r="J11" t="s">
        <v>240</v>
      </c>
      <c r="K11" t="s">
        <v>241</v>
      </c>
      <c r="N11" t="str">
        <f>IF(Customers!A11="","",Customers!A11&amp;" — "&amp;Customers!B11)</f>
        <v/>
      </c>
    </row>
    <row r="12" spans="1:32">
      <c r="A12" t="s">
        <v>131</v>
      </c>
      <c r="B12" t="s">
        <v>106</v>
      </c>
      <c r="H12" t="s">
        <v>242</v>
      </c>
      <c r="I12" t="s">
        <v>27</v>
      </c>
      <c r="J12" t="s">
        <v>243</v>
      </c>
      <c r="K12" t="s">
        <v>244</v>
      </c>
      <c r="N12" t="str">
        <f>IF(Customers!A12="","",Customers!A12&amp;" — "&amp;Customers!B12)</f>
        <v/>
      </c>
    </row>
    <row r="13" spans="1:32">
      <c r="A13" t="s">
        <v>132</v>
      </c>
      <c r="H13" t="s">
        <v>245</v>
      </c>
      <c r="I13" t="s">
        <v>29</v>
      </c>
      <c r="J13" t="s">
        <v>246</v>
      </c>
      <c r="K13" t="s">
        <v>247</v>
      </c>
      <c r="N13" t="str">
        <f>IF(Customers!A13="","",Customers!A13&amp;" — "&amp;Customers!B13)</f>
        <v/>
      </c>
    </row>
    <row r="14" spans="1:32">
      <c r="A14" t="s">
        <v>103</v>
      </c>
      <c r="H14" t="s">
        <v>248</v>
      </c>
      <c r="I14" t="s">
        <v>31</v>
      </c>
      <c r="J14" t="s">
        <v>249</v>
      </c>
      <c r="K14" t="s">
        <v>250</v>
      </c>
      <c r="N14" t="str">
        <f>IF(Customers!A14="","",Customers!A14&amp;" — "&amp;Customers!B14)</f>
        <v/>
      </c>
    </row>
    <row r="15" spans="1:32">
      <c r="A15" t="s">
        <v>133</v>
      </c>
      <c r="H15" t="s">
        <v>251</v>
      </c>
      <c r="I15" t="s">
        <v>23</v>
      </c>
      <c r="J15" t="s">
        <v>252</v>
      </c>
      <c r="K15" t="s">
        <v>253</v>
      </c>
      <c r="N15" t="str">
        <f>IF(Customers!A15="","",Customers!A15&amp;" — "&amp;Customers!B15)</f>
        <v/>
      </c>
    </row>
    <row r="16" spans="1:32">
      <c r="H16" t="s">
        <v>254</v>
      </c>
      <c r="I16" t="s">
        <v>25</v>
      </c>
      <c r="J16" t="s">
        <v>255</v>
      </c>
      <c r="K16" t="s">
        <v>256</v>
      </c>
      <c r="N16" t="str">
        <f>IF(Customers!A16="","",Customers!A16&amp;" — "&amp;Customers!B16)</f>
        <v/>
      </c>
    </row>
    <row r="17" spans="8:14">
      <c r="H17" t="s">
        <v>257</v>
      </c>
      <c r="I17" t="s">
        <v>0</v>
      </c>
      <c r="J17" t="s">
        <v>258</v>
      </c>
      <c r="K17" t="s">
        <v>259</v>
      </c>
      <c r="N17" t="str">
        <f>IF(Customers!A17="","",Customers!A17&amp;" — "&amp;Customers!B17)</f>
        <v/>
      </c>
    </row>
    <row r="18" spans="8:14">
      <c r="H18" t="s">
        <v>260</v>
      </c>
      <c r="I18" t="s">
        <v>28</v>
      </c>
      <c r="J18" t="s">
        <v>261</v>
      </c>
      <c r="K18" t="s">
        <v>262</v>
      </c>
      <c r="N18" t="str">
        <f>IF(Customers!A18="","",Customers!A18&amp;" — "&amp;Customers!B18)</f>
        <v/>
      </c>
    </row>
    <row r="19" spans="8:14">
      <c r="H19" t="s">
        <v>263</v>
      </c>
      <c r="I19" t="s">
        <v>30</v>
      </c>
      <c r="J19" t="s">
        <v>264</v>
      </c>
      <c r="K19" t="s">
        <v>265</v>
      </c>
      <c r="N19" t="str">
        <f>IF(Customers!A19="","",Customers!A19&amp;" — "&amp;Customers!B19)</f>
        <v/>
      </c>
    </row>
    <row r="20" spans="8:14">
      <c r="H20" t="s">
        <v>266</v>
      </c>
      <c r="I20" t="s">
        <v>17</v>
      </c>
      <c r="J20" t="s">
        <v>267</v>
      </c>
      <c r="K20" t="s">
        <v>268</v>
      </c>
      <c r="N20" t="str">
        <f>IF(Customers!A20="","",Customers!A20&amp;" — "&amp;Customers!B20)</f>
        <v/>
      </c>
    </row>
    <row r="21" spans="8:14">
      <c r="H21" t="s">
        <v>269</v>
      </c>
      <c r="I21" t="s">
        <v>32</v>
      </c>
      <c r="J21" t="s">
        <v>270</v>
      </c>
      <c r="K21" t="s">
        <v>271</v>
      </c>
      <c r="N21" t="str">
        <f>IF(Customers!A21="","",Customers!A21&amp;" — "&amp;Customers!B21)</f>
        <v/>
      </c>
    </row>
    <row r="22" spans="8:14">
      <c r="H22" t="s">
        <v>272</v>
      </c>
      <c r="I22" t="s">
        <v>33</v>
      </c>
      <c r="J22" t="s">
        <v>273</v>
      </c>
      <c r="K22" t="s">
        <v>274</v>
      </c>
      <c r="N22" t="str">
        <f>IF(Customers!A22="","",Customers!A22&amp;" — "&amp;Customers!B22)</f>
        <v/>
      </c>
    </row>
    <row r="23" spans="8:14">
      <c r="H23" t="s">
        <v>275</v>
      </c>
      <c r="I23" t="s">
        <v>35</v>
      </c>
      <c r="J23" t="s">
        <v>276</v>
      </c>
      <c r="K23" t="s">
        <v>277</v>
      </c>
      <c r="N23" t="str">
        <f>IF(Customers!A23="","",Customers!A23&amp;" — "&amp;Customers!B23)</f>
        <v/>
      </c>
    </row>
    <row r="24" spans="8:14">
      <c r="H24" t="s">
        <v>278</v>
      </c>
      <c r="I24" t="s">
        <v>37</v>
      </c>
      <c r="J24" t="s">
        <v>279</v>
      </c>
      <c r="K24" t="s">
        <v>280</v>
      </c>
      <c r="N24" t="str">
        <f>IF(Customers!A24="","",Customers!A24&amp;" — "&amp;Customers!B24)</f>
        <v/>
      </c>
    </row>
    <row r="25" spans="8:14">
      <c r="H25" t="s">
        <v>281</v>
      </c>
      <c r="I25" t="s">
        <v>39</v>
      </c>
      <c r="J25" t="s">
        <v>282</v>
      </c>
      <c r="K25" t="s">
        <v>283</v>
      </c>
      <c r="N25" t="str">
        <f>IF(Customers!A25="","",Customers!A25&amp;" — "&amp;Customers!B25)</f>
        <v/>
      </c>
    </row>
    <row r="26" spans="8:14">
      <c r="H26" t="s">
        <v>284</v>
      </c>
      <c r="I26" t="s">
        <v>41</v>
      </c>
      <c r="J26" t="s">
        <v>285</v>
      </c>
      <c r="K26" t="s">
        <v>286</v>
      </c>
      <c r="N26" t="str">
        <f>IF(Customers!A26="","",Customers!A26&amp;" — "&amp;Customers!B26)</f>
        <v/>
      </c>
    </row>
    <row r="27" spans="8:14">
      <c r="H27" t="s">
        <v>287</v>
      </c>
      <c r="I27" t="s">
        <v>43</v>
      </c>
      <c r="J27" t="s">
        <v>288</v>
      </c>
      <c r="K27" t="s">
        <v>289</v>
      </c>
      <c r="N27" t="str">
        <f>IF(Customers!A27="","",Customers!A27&amp;" — "&amp;Customers!B27)</f>
        <v/>
      </c>
    </row>
    <row r="28" spans="8:14">
      <c r="H28" t="s">
        <v>290</v>
      </c>
      <c r="I28" t="s">
        <v>45</v>
      </c>
      <c r="J28" t="s">
        <v>291</v>
      </c>
      <c r="K28" t="s">
        <v>292</v>
      </c>
      <c r="N28" t="str">
        <f>IF(Customers!A28="","",Customers!A28&amp;" — "&amp;Customers!B28)</f>
        <v/>
      </c>
    </row>
    <row r="29" spans="8:14">
      <c r="H29" t="s">
        <v>293</v>
      </c>
      <c r="I29" t="s">
        <v>48</v>
      </c>
      <c r="J29" t="s">
        <v>294</v>
      </c>
      <c r="K29" t="s">
        <v>295</v>
      </c>
      <c r="N29" t="str">
        <f>IF(Customers!A29="","",Customers!A29&amp;" — "&amp;Customers!B29)</f>
        <v/>
      </c>
    </row>
    <row r="30" spans="8:14">
      <c r="H30" t="s">
        <v>296</v>
      </c>
      <c r="I30" t="s">
        <v>50</v>
      </c>
      <c r="J30" t="s">
        <v>297</v>
      </c>
      <c r="K30" t="s">
        <v>298</v>
      </c>
      <c r="N30" t="str">
        <f>IF(Customers!A30="","",Customers!A30&amp;" — "&amp;Customers!B30)</f>
        <v/>
      </c>
    </row>
    <row r="31" spans="8:14">
      <c r="H31" t="s">
        <v>299</v>
      </c>
      <c r="I31" t="s">
        <v>34</v>
      </c>
      <c r="J31" t="s">
        <v>300</v>
      </c>
      <c r="K31" t="s">
        <v>301</v>
      </c>
      <c r="N31" t="str">
        <f>IF(Customers!A31="","",Customers!A31&amp;" — "&amp;Customers!B31)</f>
        <v/>
      </c>
    </row>
    <row r="32" spans="8:14">
      <c r="H32" t="s">
        <v>302</v>
      </c>
      <c r="I32" t="s">
        <v>36</v>
      </c>
      <c r="J32" t="s">
        <v>303</v>
      </c>
      <c r="K32" t="s">
        <v>304</v>
      </c>
      <c r="N32" t="str">
        <f>IF(Customers!A32="","",Customers!A32&amp;" — "&amp;Customers!B32)</f>
        <v/>
      </c>
    </row>
    <row r="33" spans="8:14">
      <c r="H33" t="s">
        <v>305</v>
      </c>
      <c r="I33" t="s">
        <v>38</v>
      </c>
      <c r="J33" t="s">
        <v>306</v>
      </c>
      <c r="K33" t="s">
        <v>307</v>
      </c>
      <c r="N33" t="str">
        <f>IF(Customers!A33="","",Customers!A33&amp;" — "&amp;Customers!B33)</f>
        <v/>
      </c>
    </row>
    <row r="34" spans="8:14">
      <c r="H34" t="s">
        <v>308</v>
      </c>
      <c r="I34" t="s">
        <v>40</v>
      </c>
      <c r="J34" t="s">
        <v>309</v>
      </c>
      <c r="K34" t="s">
        <v>310</v>
      </c>
      <c r="N34" t="str">
        <f>IF(Customers!A34="","",Customers!A34&amp;" — "&amp;Customers!B34)</f>
        <v/>
      </c>
    </row>
    <row r="35" spans="8:14">
      <c r="H35" t="s">
        <v>311</v>
      </c>
      <c r="I35" t="s">
        <v>42</v>
      </c>
      <c r="J35" t="s">
        <v>312</v>
      </c>
      <c r="K35" t="s">
        <v>313</v>
      </c>
      <c r="N35" t="str">
        <f>IF(Customers!A35="","",Customers!A35&amp;" — "&amp;Customers!B35)</f>
        <v/>
      </c>
    </row>
    <row r="36" spans="8:14">
      <c r="H36" t="s">
        <v>314</v>
      </c>
      <c r="I36" t="s">
        <v>44</v>
      </c>
      <c r="J36" t="s">
        <v>315</v>
      </c>
      <c r="K36" t="s">
        <v>316</v>
      </c>
      <c r="N36" t="str">
        <f>IF(Customers!A36="","",Customers!A36&amp;" — "&amp;Customers!B36)</f>
        <v/>
      </c>
    </row>
    <row r="37" spans="8:14">
      <c r="H37" t="s">
        <v>317</v>
      </c>
      <c r="I37" t="s">
        <v>1</v>
      </c>
      <c r="J37" t="s">
        <v>318</v>
      </c>
      <c r="K37" t="s">
        <v>319</v>
      </c>
      <c r="N37" t="str">
        <f>IF(Customers!A37="","",Customers!A37&amp;" — "&amp;Customers!B37)</f>
        <v/>
      </c>
    </row>
    <row r="38" spans="8:14">
      <c r="H38" t="s">
        <v>320</v>
      </c>
      <c r="I38" t="s">
        <v>3</v>
      </c>
      <c r="J38" t="s">
        <v>321</v>
      </c>
      <c r="K38" t="s">
        <v>322</v>
      </c>
      <c r="N38" t="str">
        <f>IF(Customers!A38="","",Customers!A38&amp;" — "&amp;Customers!B38)</f>
        <v/>
      </c>
    </row>
    <row r="39" spans="8:14">
      <c r="H39" t="s">
        <v>323</v>
      </c>
      <c r="I39" t="s">
        <v>51</v>
      </c>
      <c r="J39" t="s">
        <v>324</v>
      </c>
      <c r="K39" t="s">
        <v>325</v>
      </c>
      <c r="N39" t="str">
        <f>IF(Customers!A39="","",Customers!A39&amp;" — "&amp;Customers!B39)</f>
        <v/>
      </c>
    </row>
    <row r="40" spans="8:14">
      <c r="H40" t="s">
        <v>326</v>
      </c>
      <c r="I40" t="s">
        <v>9</v>
      </c>
      <c r="J40" t="s">
        <v>327</v>
      </c>
      <c r="K40" t="s">
        <v>328</v>
      </c>
      <c r="N40" t="str">
        <f>IF(Customers!A40="","",Customers!A40&amp;" — "&amp;Customers!B40)</f>
        <v/>
      </c>
    </row>
    <row r="41" spans="8:14">
      <c r="H41" t="s">
        <v>329</v>
      </c>
      <c r="I41" t="s">
        <v>61</v>
      </c>
      <c r="J41" t="s">
        <v>330</v>
      </c>
      <c r="K41" t="s">
        <v>331</v>
      </c>
      <c r="N41" t="str">
        <f>IF(Customers!A41="","",Customers!A41&amp;" — "&amp;Customers!B41)</f>
        <v/>
      </c>
    </row>
    <row r="42" spans="8:14">
      <c r="H42" t="s">
        <v>332</v>
      </c>
      <c r="I42" t="s">
        <v>62</v>
      </c>
      <c r="J42" t="s">
        <v>333</v>
      </c>
      <c r="K42" t="s">
        <v>334</v>
      </c>
      <c r="N42" t="str">
        <f>IF(Customers!A42="","",Customers!A42&amp;" — "&amp;Customers!B42)</f>
        <v/>
      </c>
    </row>
    <row r="43" spans="8:14">
      <c r="H43" t="s">
        <v>335</v>
      </c>
      <c r="I43" t="s">
        <v>336</v>
      </c>
      <c r="J43" t="s">
        <v>337</v>
      </c>
      <c r="K43" t="s">
        <v>338</v>
      </c>
      <c r="N43" t="str">
        <f>IF(Customers!A43="","",Customers!A43&amp;" — "&amp;Customers!B43)</f>
        <v/>
      </c>
    </row>
    <row r="44" spans="8:14">
      <c r="H44" t="s">
        <v>339</v>
      </c>
      <c r="I44" t="s">
        <v>18</v>
      </c>
      <c r="J44" t="s">
        <v>340</v>
      </c>
      <c r="K44" t="s">
        <v>341</v>
      </c>
      <c r="N44" t="str">
        <f>IF(Customers!A44="","",Customers!A44&amp;" — "&amp;Customers!B44)</f>
        <v/>
      </c>
    </row>
    <row r="45" spans="8:14">
      <c r="H45" t="s">
        <v>342</v>
      </c>
      <c r="I45" t="s">
        <v>21</v>
      </c>
      <c r="J45" t="s">
        <v>343</v>
      </c>
      <c r="K45" t="s">
        <v>344</v>
      </c>
      <c r="N45" t="str">
        <f>IF(Customers!A45="","",Customers!A45&amp;" — "&amp;Customers!B45)</f>
        <v/>
      </c>
    </row>
    <row r="46" spans="8:14">
      <c r="H46" t="s">
        <v>345</v>
      </c>
      <c r="I46" t="s">
        <v>346</v>
      </c>
      <c r="J46" t="s">
        <v>347</v>
      </c>
      <c r="K46" t="s">
        <v>348</v>
      </c>
      <c r="N46" t="str">
        <f>IF(Customers!A46="","",Customers!A46&amp;" — "&amp;Customers!B46)</f>
        <v/>
      </c>
    </row>
    <row r="47" spans="8:14">
      <c r="H47" t="s">
        <v>354</v>
      </c>
      <c r="I47" t="s">
        <v>52</v>
      </c>
      <c r="J47" t="s">
        <v>355</v>
      </c>
      <c r="K47" t="s">
        <v>356</v>
      </c>
      <c r="N47" t="str">
        <f>IF(Customers!A47="","",Customers!A47&amp;" — "&amp;Customers!B47)</f>
        <v/>
      </c>
    </row>
    <row r="48" spans="8:14">
      <c r="H48" t="s">
        <v>357</v>
      </c>
      <c r="I48" t="s">
        <v>53</v>
      </c>
      <c r="J48" t="s">
        <v>358</v>
      </c>
      <c r="K48" t="s">
        <v>359</v>
      </c>
      <c r="N48" t="str">
        <f>IF(Customers!A48="","",Customers!A48&amp;" — "&amp;Customers!B48)</f>
        <v/>
      </c>
    </row>
    <row r="49" spans="8:14">
      <c r="H49" t="s">
        <v>360</v>
      </c>
      <c r="I49" t="s">
        <v>54</v>
      </c>
      <c r="J49" t="s">
        <v>361</v>
      </c>
      <c r="K49" t="s">
        <v>362</v>
      </c>
      <c r="N49" t="str">
        <f>IF(Customers!A49="","",Customers!A49&amp;" — "&amp;Customers!B49)</f>
        <v/>
      </c>
    </row>
    <row r="50" spans="8:14">
      <c r="H50" t="s">
        <v>363</v>
      </c>
      <c r="I50" t="s">
        <v>55</v>
      </c>
      <c r="J50" t="s">
        <v>364</v>
      </c>
      <c r="K50" t="s">
        <v>365</v>
      </c>
      <c r="N50" t="str">
        <f>IF(Customers!A50="","",Customers!A50&amp;" — "&amp;Customers!B50)</f>
        <v/>
      </c>
    </row>
    <row r="51" spans="8:14">
      <c r="H51" t="s">
        <v>366</v>
      </c>
      <c r="I51" t="s">
        <v>56</v>
      </c>
      <c r="J51" t="s">
        <v>367</v>
      </c>
      <c r="K51" t="s">
        <v>368</v>
      </c>
      <c r="N51" t="str">
        <f>IF(Customers!A51="","",Customers!A51&amp;" — "&amp;Customers!B51)</f>
        <v/>
      </c>
    </row>
    <row r="52" spans="8:14">
      <c r="H52" t="s">
        <v>369</v>
      </c>
      <c r="I52" t="s">
        <v>57</v>
      </c>
      <c r="J52" t="s">
        <v>370</v>
      </c>
      <c r="K52" t="s">
        <v>371</v>
      </c>
      <c r="N52" t="str">
        <f>IF(Customers!A52="","",Customers!A52&amp;" — "&amp;Customers!B52)</f>
        <v/>
      </c>
    </row>
    <row r="53" spans="8:14">
      <c r="H53" t="s">
        <v>372</v>
      </c>
      <c r="I53" t="s">
        <v>58</v>
      </c>
      <c r="J53" t="s">
        <v>373</v>
      </c>
      <c r="K53" t="s">
        <v>374</v>
      </c>
      <c r="N53" t="str">
        <f>IF(Customers!A53="","",Customers!A53&amp;" — "&amp;Customers!B53)</f>
        <v/>
      </c>
    </row>
    <row r="54" spans="8:14">
      <c r="H54" t="s">
        <v>375</v>
      </c>
      <c r="I54" t="s">
        <v>59</v>
      </c>
      <c r="J54" t="s">
        <v>376</v>
      </c>
      <c r="K54" t="s">
        <v>377</v>
      </c>
      <c r="N54" t="str">
        <f>IF(Customers!A54="","",Customers!A54&amp;" — "&amp;Customers!B54)</f>
        <v/>
      </c>
    </row>
    <row r="55" spans="8:14">
      <c r="H55" t="s">
        <v>378</v>
      </c>
      <c r="I55" t="s">
        <v>60</v>
      </c>
      <c r="J55" t="s">
        <v>379</v>
      </c>
      <c r="K55" t="s">
        <v>380</v>
      </c>
      <c r="N55" t="str">
        <f>IF(Customers!A55="","",Customers!A55&amp;" — "&amp;Customers!B55)</f>
        <v/>
      </c>
    </row>
    <row r="56" spans="8:14">
      <c r="H56" t="s">
        <v>424</v>
      </c>
      <c r="I56" t="s">
        <v>83</v>
      </c>
      <c r="J56" t="s">
        <v>425</v>
      </c>
      <c r="K56" t="s">
        <v>426</v>
      </c>
      <c r="N56" t="str">
        <f>IF(Customers!A56="","",Customers!A56&amp;" — "&amp;Customers!B56)</f>
        <v/>
      </c>
    </row>
    <row r="57" spans="8:14">
      <c r="H57" t="s">
        <v>427</v>
      </c>
      <c r="I57" t="s">
        <v>84</v>
      </c>
      <c r="J57" t="s">
        <v>428</v>
      </c>
      <c r="K57" t="s">
        <v>429</v>
      </c>
      <c r="N57" t="str">
        <f>IF(Customers!A57="","",Customers!A57&amp;" — "&amp;Customers!B57)</f>
        <v/>
      </c>
    </row>
    <row r="58" spans="8:14">
      <c r="H58" t="s">
        <v>430</v>
      </c>
      <c r="I58" t="s">
        <v>85</v>
      </c>
      <c r="J58" t="s">
        <v>431</v>
      </c>
      <c r="K58" t="s">
        <v>432</v>
      </c>
      <c r="N58" t="str">
        <f>IF(Customers!A58="","",Customers!A58&amp;" — "&amp;Customers!B58)</f>
        <v/>
      </c>
    </row>
    <row r="59" spans="8:14">
      <c r="H59" t="s">
        <v>433</v>
      </c>
      <c r="I59" t="s">
        <v>86</v>
      </c>
      <c r="J59" t="s">
        <v>434</v>
      </c>
      <c r="K59" t="s">
        <v>435</v>
      </c>
      <c r="N59" t="str">
        <f>IF(Customers!A59="","",Customers!A59&amp;" — "&amp;Customers!B59)</f>
        <v/>
      </c>
    </row>
    <row r="60" spans="8:14">
      <c r="H60" t="s">
        <v>436</v>
      </c>
      <c r="I60" t="s">
        <v>87</v>
      </c>
      <c r="J60" t="s">
        <v>437</v>
      </c>
      <c r="K60" t="s">
        <v>438</v>
      </c>
      <c r="N60" t="str">
        <f>IF(Customers!A60="","",Customers!A60&amp;" — "&amp;Customers!B60)</f>
        <v/>
      </c>
    </row>
    <row r="61" spans="8:14">
      <c r="H61" t="s">
        <v>439</v>
      </c>
      <c r="I61" t="s">
        <v>88</v>
      </c>
      <c r="J61" t="s">
        <v>440</v>
      </c>
      <c r="K61" t="s">
        <v>441</v>
      </c>
      <c r="N61" t="str">
        <f>IF(Customers!A61="","",Customers!A61&amp;" — "&amp;Customers!B61)</f>
        <v/>
      </c>
    </row>
    <row r="62" spans="8:14">
      <c r="H62" t="s">
        <v>442</v>
      </c>
      <c r="I62" t="s">
        <v>89</v>
      </c>
      <c r="J62" t="s">
        <v>443</v>
      </c>
      <c r="K62" t="s">
        <v>444</v>
      </c>
      <c r="N62" t="str">
        <f>IF(Customers!A62="","",Customers!A62&amp;" — "&amp;Customers!B62)</f>
        <v/>
      </c>
    </row>
    <row r="63" spans="8:14">
      <c r="H63" t="s">
        <v>445</v>
      </c>
      <c r="I63" t="s">
        <v>90</v>
      </c>
      <c r="J63" t="s">
        <v>446</v>
      </c>
      <c r="K63" t="s">
        <v>447</v>
      </c>
      <c r="N63" t="str">
        <f>IF(Customers!A63="","",Customers!A63&amp;" — "&amp;Customers!B63)</f>
        <v/>
      </c>
    </row>
    <row r="64" spans="8:14">
      <c r="H64" t="s">
        <v>448</v>
      </c>
      <c r="I64" t="s">
        <v>91</v>
      </c>
      <c r="J64" t="s">
        <v>449</v>
      </c>
      <c r="K64" t="s">
        <v>450</v>
      </c>
      <c r="N64" t="str">
        <f>IF(Customers!A64="","",Customers!A64&amp;" — "&amp;Customers!B64)</f>
        <v/>
      </c>
    </row>
    <row r="65" spans="8:14">
      <c r="H65" t="s">
        <v>451</v>
      </c>
      <c r="I65" t="s">
        <v>92</v>
      </c>
      <c r="J65" t="s">
        <v>452</v>
      </c>
      <c r="K65" t="s">
        <v>453</v>
      </c>
      <c r="N65" t="str">
        <f>IF(Customers!A65="","",Customers!A65&amp;" — "&amp;Customers!B65)</f>
        <v/>
      </c>
    </row>
    <row r="66" spans="8:14">
      <c r="H66" t="s">
        <v>454</v>
      </c>
      <c r="I66" t="s">
        <v>93</v>
      </c>
      <c r="J66" t="s">
        <v>455</v>
      </c>
      <c r="K66" t="s">
        <v>456</v>
      </c>
      <c r="N66" t="str">
        <f>IF(Customers!A66="","",Customers!A66&amp;" — "&amp;Customers!B66)</f>
        <v/>
      </c>
    </row>
    <row r="67" spans="8:14">
      <c r="H67" t="s">
        <v>457</v>
      </c>
      <c r="I67" t="s">
        <v>94</v>
      </c>
      <c r="J67" t="s">
        <v>458</v>
      </c>
      <c r="K67" t="s">
        <v>459</v>
      </c>
      <c r="N67" t="str">
        <f>IF(Customers!A67="","",Customers!A67&amp;" — "&amp;Customers!B67)</f>
        <v/>
      </c>
    </row>
    <row r="68" spans="8:14">
      <c r="H68" t="s">
        <v>460</v>
      </c>
      <c r="I68" t="s">
        <v>95</v>
      </c>
      <c r="J68" t="s">
        <v>461</v>
      </c>
      <c r="K68" t="s">
        <v>462</v>
      </c>
      <c r="N68" t="str">
        <f>IF(Customers!A68="","",Customers!A68&amp;" — "&amp;Customers!B68)</f>
        <v/>
      </c>
    </row>
    <row r="69" spans="8:14">
      <c r="H69" t="s">
        <v>463</v>
      </c>
      <c r="I69" t="s">
        <v>96</v>
      </c>
      <c r="J69" t="s">
        <v>464</v>
      </c>
      <c r="K69" t="s">
        <v>465</v>
      </c>
      <c r="N69" t="str">
        <f>IF(Customers!A69="","",Customers!A69&amp;" — "&amp;Customers!B69)</f>
        <v/>
      </c>
    </row>
    <row r="70" spans="8:14">
      <c r="H70" t="s">
        <v>466</v>
      </c>
      <c r="I70" t="s">
        <v>82</v>
      </c>
      <c r="J70" t="s">
        <v>467</v>
      </c>
      <c r="K70" t="s">
        <v>468</v>
      </c>
      <c r="N70" t="str">
        <f>IF(Customers!A70="","",Customers!A70&amp;" — "&amp;Customers!B70)</f>
        <v/>
      </c>
    </row>
    <row r="71" spans="8:14">
      <c r="N71" t="str">
        <f>IF(Customers!A71="","",Customers!A71&amp;" — "&amp;Customers!B71)</f>
        <v/>
      </c>
    </row>
    <row r="72" spans="8:14">
      <c r="N72" t="str">
        <f>IF(Customers!A72="","",Customers!A72&amp;" — "&amp;Customers!B72)</f>
        <v/>
      </c>
    </row>
    <row r="73" spans="8:14">
      <c r="N73" t="str">
        <f>IF(Customers!A73="","",Customers!A73&amp;" — "&amp;Customers!B73)</f>
        <v/>
      </c>
    </row>
    <row r="74" spans="8:14">
      <c r="N74" t="str">
        <f>IF(Customers!A74="","",Customers!A74&amp;" — "&amp;Customers!B74)</f>
        <v/>
      </c>
    </row>
    <row r="75" spans="8:14">
      <c r="N75" t="str">
        <f>IF(Customers!A75="","",Customers!A75&amp;" — "&amp;Customers!B75)</f>
        <v/>
      </c>
    </row>
    <row r="76" spans="8:14">
      <c r="N76" t="str">
        <f>IF(Customers!A76="","",Customers!A76&amp;" — "&amp;Customers!B76)</f>
        <v/>
      </c>
    </row>
    <row r="77" spans="8:14">
      <c r="N77" t="str">
        <f>IF(Customers!A77="","",Customers!A77&amp;" — "&amp;Customers!B77)</f>
        <v/>
      </c>
    </row>
    <row r="78" spans="8:14">
      <c r="N78" t="str">
        <f>IF(Customers!A78="","",Customers!A78&amp;" — "&amp;Customers!B78)</f>
        <v/>
      </c>
    </row>
    <row r="79" spans="8:14">
      <c r="N79" t="str">
        <f>IF(Customers!A79="","",Customers!A79&amp;" — "&amp;Customers!B79)</f>
        <v/>
      </c>
    </row>
    <row r="80" spans="8:14">
      <c r="N80" t="str">
        <f>IF(Customers!A80="","",Customers!A80&amp;" — "&amp;Customers!B80)</f>
        <v/>
      </c>
    </row>
    <row r="81" spans="14:14">
      <c r="N81" t="str">
        <f>IF(Customers!A81="","",Customers!A81&amp;" — "&amp;Customers!B81)</f>
        <v/>
      </c>
    </row>
    <row r="82" spans="14:14">
      <c r="N82" t="str">
        <f>IF(Customers!A82="","",Customers!A82&amp;" — "&amp;Customers!B82)</f>
        <v/>
      </c>
    </row>
    <row r="83" spans="14:14">
      <c r="N83" t="str">
        <f>IF(Customers!A83="","",Customers!A83&amp;" — "&amp;Customers!B83)</f>
        <v/>
      </c>
    </row>
    <row r="84" spans="14:14">
      <c r="N84" t="str">
        <f>IF(Customers!A84="","",Customers!A84&amp;" — "&amp;Customers!B84)</f>
        <v/>
      </c>
    </row>
    <row r="85" spans="14:14">
      <c r="N85" t="str">
        <f>IF(Customers!A85="","",Customers!A85&amp;" — "&amp;Customers!B85)</f>
        <v/>
      </c>
    </row>
    <row r="86" spans="14:14">
      <c r="N86" t="str">
        <f>IF(Customers!A86="","",Customers!A86&amp;" — "&amp;Customers!B86)</f>
        <v/>
      </c>
    </row>
    <row r="87" spans="14:14">
      <c r="N87" t="str">
        <f>IF(Customers!A87="","",Customers!A87&amp;" — "&amp;Customers!B87)</f>
        <v/>
      </c>
    </row>
    <row r="88" spans="14:14">
      <c r="N88" t="str">
        <f>IF(Customers!A88="","",Customers!A88&amp;" — "&amp;Customers!B88)</f>
        <v/>
      </c>
    </row>
    <row r="89" spans="14:14">
      <c r="N89" t="str">
        <f>IF(Customers!A89="","",Customers!A89&amp;" — "&amp;Customers!B89)</f>
        <v/>
      </c>
    </row>
    <row r="90" spans="14:14">
      <c r="N90" t="str">
        <f>IF(Customers!A90="","",Customers!A90&amp;" — "&amp;Customers!B90)</f>
        <v/>
      </c>
    </row>
    <row r="91" spans="14:14">
      <c r="N91" t="str">
        <f>IF(Customers!A91="","",Customers!A91&amp;" — "&amp;Customers!B91)</f>
        <v/>
      </c>
    </row>
    <row r="92" spans="14:14">
      <c r="N92" t="str">
        <f>IF(Customers!A92="","",Customers!A92&amp;" — "&amp;Customers!B92)</f>
        <v/>
      </c>
    </row>
    <row r="93" spans="14:14">
      <c r="N93" t="str">
        <f>IF(Customers!A93="","",Customers!A93&amp;" — "&amp;Customers!B93)</f>
        <v/>
      </c>
    </row>
    <row r="94" spans="14:14">
      <c r="N94" t="str">
        <f>IF(Customers!A94="","",Customers!A94&amp;" — "&amp;Customers!B94)</f>
        <v/>
      </c>
    </row>
    <row r="95" spans="14:14">
      <c r="N95" t="str">
        <f>IF(Customers!A95="","",Customers!A95&amp;" — "&amp;Customers!B95)</f>
        <v/>
      </c>
    </row>
    <row r="96" spans="14:14">
      <c r="N96" t="str">
        <f>IF(Customers!A96="","",Customers!A96&amp;" — "&amp;Customers!B96)</f>
        <v/>
      </c>
    </row>
    <row r="97" spans="14:14">
      <c r="N97" t="str">
        <f>IF(Customers!A97="","",Customers!A97&amp;" — "&amp;Customers!B97)</f>
        <v/>
      </c>
    </row>
    <row r="98" spans="14:14">
      <c r="N98" t="str">
        <f>IF(Customers!A98="","",Customers!A98&amp;" — "&amp;Customers!B98)</f>
        <v/>
      </c>
    </row>
    <row r="99" spans="14:14">
      <c r="N99" t="str">
        <f>IF(Customers!A99="","",Customers!A99&amp;" — "&amp;Customers!B99)</f>
        <v/>
      </c>
    </row>
    <row r="100" spans="14:14">
      <c r="N100" t="str">
        <f>IF(Customers!A100="","",Customers!A100&amp;" — "&amp;Customers!B100)</f>
        <v/>
      </c>
    </row>
    <row r="101" spans="14:14">
      <c r="N101" t="str">
        <f>IF(Customers!A101="","",Customers!A101&amp;" — "&amp;Customers!B101)</f>
        <v/>
      </c>
    </row>
    <row r="102" spans="14:14">
      <c r="N102" t="str">
        <f>IF(Customers!A102="","",Customers!A102&amp;" — "&amp;Customers!B102)</f>
        <v/>
      </c>
    </row>
    <row r="103" spans="14:14">
      <c r="N103" t="str">
        <f>IF(Customers!A103="","",Customers!A103&amp;" — "&amp;Customers!B103)</f>
        <v/>
      </c>
    </row>
    <row r="104" spans="14:14">
      <c r="N104" t="str">
        <f>IF(Customers!A104="","",Customers!A104&amp;" — "&amp;Customers!B104)</f>
        <v/>
      </c>
    </row>
    <row r="105" spans="14:14">
      <c r="N105" t="str">
        <f>IF(Customers!A105="","",Customers!A105&amp;" — "&amp;Customers!B105)</f>
        <v/>
      </c>
    </row>
    <row r="106" spans="14:14">
      <c r="N106" t="str">
        <f>IF(Customers!A106="","",Customers!A106&amp;" — "&amp;Customers!B106)</f>
        <v/>
      </c>
    </row>
    <row r="107" spans="14:14">
      <c r="N107" t="str">
        <f>IF(Customers!A107="","",Customers!A107&amp;" — "&amp;Customers!B107)</f>
        <v/>
      </c>
    </row>
    <row r="108" spans="14:14">
      <c r="N108" t="str">
        <f>IF(Customers!A108="","",Customers!A108&amp;" — "&amp;Customers!B108)</f>
        <v/>
      </c>
    </row>
    <row r="109" spans="14:14">
      <c r="N109" t="str">
        <f>IF(Customers!A109="","",Customers!A109&amp;" — "&amp;Customers!B109)</f>
        <v/>
      </c>
    </row>
    <row r="110" spans="14:14">
      <c r="N110" t="str">
        <f>IF(Customers!A110="","",Customers!A110&amp;" — "&amp;Customers!B110)</f>
        <v/>
      </c>
    </row>
    <row r="111" spans="14:14">
      <c r="N111" t="str">
        <f>IF(Customers!A111="","",Customers!A111&amp;" — "&amp;Customers!B111)</f>
        <v/>
      </c>
    </row>
    <row r="112" spans="14:14">
      <c r="N112" t="str">
        <f>IF(Customers!A112="","",Customers!A112&amp;" — "&amp;Customers!B112)</f>
        <v/>
      </c>
    </row>
    <row r="113" spans="14:14">
      <c r="N113" t="str">
        <f>IF(Customers!A113="","",Customers!A113&amp;" — "&amp;Customers!B113)</f>
        <v/>
      </c>
    </row>
    <row r="114" spans="14:14">
      <c r="N114" t="str">
        <f>IF(Customers!A114="","",Customers!A114&amp;" — "&amp;Customers!B114)</f>
        <v/>
      </c>
    </row>
    <row r="115" spans="14:14">
      <c r="N115" t="str">
        <f>IF(Customers!A115="","",Customers!A115&amp;" — "&amp;Customers!B115)</f>
        <v/>
      </c>
    </row>
    <row r="116" spans="14:14">
      <c r="N116" t="str">
        <f>IF(Customers!A116="","",Customers!A116&amp;" — "&amp;Customers!B116)</f>
        <v/>
      </c>
    </row>
    <row r="117" spans="14:14">
      <c r="N117" t="str">
        <f>IF(Customers!A117="","",Customers!A117&amp;" — "&amp;Customers!B117)</f>
        <v/>
      </c>
    </row>
    <row r="118" spans="14:14">
      <c r="N118" t="str">
        <f>IF(Customers!A118="","",Customers!A118&amp;" — "&amp;Customers!B118)</f>
        <v/>
      </c>
    </row>
    <row r="119" spans="14:14">
      <c r="N119" t="str">
        <f>IF(Customers!A119="","",Customers!A119&amp;" — "&amp;Customers!B119)</f>
        <v/>
      </c>
    </row>
    <row r="120" spans="14:14">
      <c r="N120" t="str">
        <f>IF(Customers!A120="","",Customers!A120&amp;" — "&amp;Customers!B120)</f>
        <v/>
      </c>
    </row>
    <row r="121" spans="14:14">
      <c r="N121" t="str">
        <f>IF(Customers!A121="","",Customers!A121&amp;" — "&amp;Customers!B121)</f>
        <v/>
      </c>
    </row>
    <row r="122" spans="14:14">
      <c r="N122" t="str">
        <f>IF(Customers!A122="","",Customers!A122&amp;" — "&amp;Customers!B122)</f>
        <v/>
      </c>
    </row>
    <row r="123" spans="14:14">
      <c r="N123" t="str">
        <f>IF(Customers!A123="","",Customers!A123&amp;" — "&amp;Customers!B123)</f>
        <v/>
      </c>
    </row>
    <row r="124" spans="14:14">
      <c r="N124" t="str">
        <f>IF(Customers!A124="","",Customers!A124&amp;" — "&amp;Customers!B124)</f>
        <v/>
      </c>
    </row>
    <row r="125" spans="14:14">
      <c r="N125" t="str">
        <f>IF(Customers!A125="","",Customers!A125&amp;" — "&amp;Customers!B125)</f>
        <v/>
      </c>
    </row>
    <row r="126" spans="14:14">
      <c r="N126" t="str">
        <f>IF(Customers!A126="","",Customers!A126&amp;" — "&amp;Customers!B126)</f>
        <v/>
      </c>
    </row>
    <row r="127" spans="14:14">
      <c r="N127" t="str">
        <f>IF(Customers!A127="","",Customers!A127&amp;" — "&amp;Customers!B127)</f>
        <v/>
      </c>
    </row>
    <row r="128" spans="14:14">
      <c r="N128" t="str">
        <f>IF(Customers!A128="","",Customers!A128&amp;" — "&amp;Customers!B128)</f>
        <v/>
      </c>
    </row>
    <row r="129" spans="14:14">
      <c r="N129" t="str">
        <f>IF(Customers!A129="","",Customers!A129&amp;" — "&amp;Customers!B129)</f>
        <v/>
      </c>
    </row>
    <row r="130" spans="14:14">
      <c r="N130" t="str">
        <f>IF(Customers!A130="","",Customers!A130&amp;" — "&amp;Customers!B130)</f>
        <v/>
      </c>
    </row>
    <row r="131" spans="14:14">
      <c r="N131" t="str">
        <f>IF(Customers!A131="","",Customers!A131&amp;" — "&amp;Customers!B131)</f>
        <v/>
      </c>
    </row>
    <row r="132" spans="14:14">
      <c r="N132" t="str">
        <f>IF(Customers!A132="","",Customers!A132&amp;" — "&amp;Customers!B132)</f>
        <v/>
      </c>
    </row>
    <row r="133" spans="14:14">
      <c r="N133" t="str">
        <f>IF(Customers!A133="","",Customers!A133&amp;" — "&amp;Customers!B133)</f>
        <v/>
      </c>
    </row>
    <row r="134" spans="14:14">
      <c r="N134" t="str">
        <f>IF(Customers!A134="","",Customers!A134&amp;" — "&amp;Customers!B134)</f>
        <v/>
      </c>
    </row>
    <row r="135" spans="14:14">
      <c r="N135" t="str">
        <f>IF(Customers!A135="","",Customers!A135&amp;" — "&amp;Customers!B135)</f>
        <v/>
      </c>
    </row>
    <row r="136" spans="14:14">
      <c r="N136" t="str">
        <f>IF(Customers!A136="","",Customers!A136&amp;" — "&amp;Customers!B136)</f>
        <v/>
      </c>
    </row>
    <row r="137" spans="14:14">
      <c r="N137" t="str">
        <f>IF(Customers!A137="","",Customers!A137&amp;" — "&amp;Customers!B137)</f>
        <v/>
      </c>
    </row>
    <row r="138" spans="14:14">
      <c r="N138" t="str">
        <f>IF(Customers!A138="","",Customers!A138&amp;" — "&amp;Customers!B138)</f>
        <v/>
      </c>
    </row>
    <row r="139" spans="14:14">
      <c r="N139" t="str">
        <f>IF(Customers!A139="","",Customers!A139&amp;" — "&amp;Customers!B139)</f>
        <v/>
      </c>
    </row>
    <row r="140" spans="14:14">
      <c r="N140" t="str">
        <f>IF(Customers!A140="","",Customers!A140&amp;" — "&amp;Customers!B140)</f>
        <v/>
      </c>
    </row>
    <row r="141" spans="14:14">
      <c r="N141" t="str">
        <f>IF(Customers!A141="","",Customers!A141&amp;" — "&amp;Customers!B141)</f>
        <v/>
      </c>
    </row>
    <row r="142" spans="14:14">
      <c r="N142" t="str">
        <f>IF(Customers!A142="","",Customers!A142&amp;" — "&amp;Customers!B142)</f>
        <v/>
      </c>
    </row>
    <row r="143" spans="14:14">
      <c r="N143" t="str">
        <f>IF(Customers!A143="","",Customers!A143&amp;" — "&amp;Customers!B143)</f>
        <v/>
      </c>
    </row>
    <row r="144" spans="14:14">
      <c r="N144" t="str">
        <f>IF(Customers!A144="","",Customers!A144&amp;" — "&amp;Customers!B144)</f>
        <v/>
      </c>
    </row>
    <row r="145" spans="14:14">
      <c r="N145" t="str">
        <f>IF(Customers!A145="","",Customers!A145&amp;" — "&amp;Customers!B145)</f>
        <v/>
      </c>
    </row>
    <row r="146" spans="14:14">
      <c r="N146" t="str">
        <f>IF(Customers!A146="","",Customers!A146&amp;" — "&amp;Customers!B146)</f>
        <v/>
      </c>
    </row>
    <row r="147" spans="14:14">
      <c r="N147" t="str">
        <f>IF(Customers!A147="","",Customers!A147&amp;" — "&amp;Customers!B147)</f>
        <v/>
      </c>
    </row>
    <row r="148" spans="14:14">
      <c r="N148" t="str">
        <f>IF(Customers!A148="","",Customers!A148&amp;" — "&amp;Customers!B148)</f>
        <v/>
      </c>
    </row>
    <row r="149" spans="14:14">
      <c r="N149" t="str">
        <f>IF(Customers!A149="","",Customers!A149&amp;" — "&amp;Customers!B149)</f>
        <v/>
      </c>
    </row>
    <row r="150" spans="14:14">
      <c r="N150" t="str">
        <f>IF(Customers!A150="","",Customers!A150&amp;" — "&amp;Customers!B150)</f>
        <v/>
      </c>
    </row>
    <row r="151" spans="14:14">
      <c r="N151" t="str">
        <f>IF(Customers!A151="","",Customers!A151&amp;" — "&amp;Customers!B151)</f>
        <v/>
      </c>
    </row>
    <row r="152" spans="14:14">
      <c r="N152" t="str">
        <f>IF(Customers!A152="","",Customers!A152&amp;" — "&amp;Customers!B152)</f>
        <v/>
      </c>
    </row>
    <row r="153" spans="14:14">
      <c r="N153" t="str">
        <f>IF(Customers!A153="","",Customers!A153&amp;" — "&amp;Customers!B153)</f>
        <v/>
      </c>
    </row>
    <row r="154" spans="14:14">
      <c r="N154" t="str">
        <f>IF(Customers!A154="","",Customers!A154&amp;" — "&amp;Customers!B154)</f>
        <v/>
      </c>
    </row>
    <row r="155" spans="14:14">
      <c r="N155" t="str">
        <f>IF(Customers!A155="","",Customers!A155&amp;" — "&amp;Customers!B155)</f>
        <v/>
      </c>
    </row>
    <row r="156" spans="14:14">
      <c r="N156" t="str">
        <f>IF(Customers!A156="","",Customers!A156&amp;" — "&amp;Customers!B156)</f>
        <v/>
      </c>
    </row>
    <row r="157" spans="14:14">
      <c r="N157" t="str">
        <f>IF(Customers!A157="","",Customers!A157&amp;" — "&amp;Customers!B157)</f>
        <v/>
      </c>
    </row>
    <row r="158" spans="14:14">
      <c r="N158" t="str">
        <f>IF(Customers!A158="","",Customers!A158&amp;" — "&amp;Customers!B158)</f>
        <v/>
      </c>
    </row>
    <row r="159" spans="14:14">
      <c r="N159" t="str">
        <f>IF(Customers!A159="","",Customers!A159&amp;" — "&amp;Customers!B159)</f>
        <v/>
      </c>
    </row>
    <row r="160" spans="14:14">
      <c r="N160" t="str">
        <f>IF(Customers!A160="","",Customers!A160&amp;" — "&amp;Customers!B160)</f>
        <v/>
      </c>
    </row>
    <row r="161" spans="14:14">
      <c r="N161" t="str">
        <f>IF(Customers!A161="","",Customers!A161&amp;" — "&amp;Customers!B161)</f>
        <v/>
      </c>
    </row>
    <row r="162" spans="14:14">
      <c r="N162" t="str">
        <f>IF(Customers!A162="","",Customers!A162&amp;" — "&amp;Customers!B162)</f>
        <v/>
      </c>
    </row>
    <row r="163" spans="14:14">
      <c r="N163" t="str">
        <f>IF(Customers!A163="","",Customers!A163&amp;" — "&amp;Customers!B163)</f>
        <v/>
      </c>
    </row>
    <row r="164" spans="14:14">
      <c r="N164" t="str">
        <f>IF(Customers!A164="","",Customers!A164&amp;" — "&amp;Customers!B164)</f>
        <v/>
      </c>
    </row>
    <row r="165" spans="14:14">
      <c r="N165" t="str">
        <f>IF(Customers!A165="","",Customers!A165&amp;" — "&amp;Customers!B165)</f>
        <v/>
      </c>
    </row>
    <row r="166" spans="14:14">
      <c r="N166" t="str">
        <f>IF(Customers!A166="","",Customers!A166&amp;" — "&amp;Customers!B166)</f>
        <v/>
      </c>
    </row>
    <row r="167" spans="14:14">
      <c r="N167" t="str">
        <f>IF(Customers!A167="","",Customers!A167&amp;" — "&amp;Customers!B167)</f>
        <v/>
      </c>
    </row>
    <row r="168" spans="14:14">
      <c r="N168" t="str">
        <f>IF(Customers!A168="","",Customers!A168&amp;" — "&amp;Customers!B168)</f>
        <v/>
      </c>
    </row>
    <row r="169" spans="14:14">
      <c r="N169" t="str">
        <f>IF(Customers!A169="","",Customers!A169&amp;" — "&amp;Customers!B169)</f>
        <v/>
      </c>
    </row>
    <row r="170" spans="14:14">
      <c r="N170" t="str">
        <f>IF(Customers!A170="","",Customers!A170&amp;" — "&amp;Customers!B170)</f>
        <v/>
      </c>
    </row>
    <row r="171" spans="14:14">
      <c r="N171" t="str">
        <f>IF(Customers!A171="","",Customers!A171&amp;" — "&amp;Customers!B171)</f>
        <v/>
      </c>
    </row>
    <row r="172" spans="14:14">
      <c r="N172" t="str">
        <f>IF(Customers!A172="","",Customers!A172&amp;" — "&amp;Customers!B172)</f>
        <v/>
      </c>
    </row>
    <row r="173" spans="14:14">
      <c r="N173" t="str">
        <f>IF(Customers!A173="","",Customers!A173&amp;" — "&amp;Customers!B173)</f>
        <v/>
      </c>
    </row>
    <row r="174" spans="14:14">
      <c r="N174" t="str">
        <f>IF(Customers!A174="","",Customers!A174&amp;" — "&amp;Customers!B174)</f>
        <v/>
      </c>
    </row>
    <row r="175" spans="14:14">
      <c r="N175" t="str">
        <f>IF(Customers!A175="","",Customers!A175&amp;" — "&amp;Customers!B175)</f>
        <v/>
      </c>
    </row>
    <row r="176" spans="14:14">
      <c r="N176" t="str">
        <f>IF(Customers!A176="","",Customers!A176&amp;" — "&amp;Customers!B176)</f>
        <v/>
      </c>
    </row>
    <row r="177" spans="14:14">
      <c r="N177" t="str">
        <f>IF(Customers!A177="","",Customers!A177&amp;" — "&amp;Customers!B177)</f>
        <v/>
      </c>
    </row>
    <row r="178" spans="14:14">
      <c r="N178" t="str">
        <f>IF(Customers!A178="","",Customers!A178&amp;" — "&amp;Customers!B178)</f>
        <v/>
      </c>
    </row>
    <row r="179" spans="14:14">
      <c r="N179" t="str">
        <f>IF(Customers!A179="","",Customers!A179&amp;" — "&amp;Customers!B179)</f>
        <v/>
      </c>
    </row>
    <row r="180" spans="14:14">
      <c r="N180" t="str">
        <f>IF(Customers!A180="","",Customers!A180&amp;" — "&amp;Customers!B180)</f>
        <v/>
      </c>
    </row>
    <row r="181" spans="14:14">
      <c r="N181" t="str">
        <f>IF(Customers!A181="","",Customers!A181&amp;" — "&amp;Customers!B181)</f>
        <v/>
      </c>
    </row>
    <row r="182" spans="14:14">
      <c r="N182" t="str">
        <f>IF(Customers!A182="","",Customers!A182&amp;" — "&amp;Customers!B182)</f>
        <v/>
      </c>
    </row>
    <row r="183" spans="14:14">
      <c r="N183" t="str">
        <f>IF(Customers!A183="","",Customers!A183&amp;" — "&amp;Customers!B183)</f>
        <v/>
      </c>
    </row>
    <row r="184" spans="14:14">
      <c r="N184" t="str">
        <f>IF(Customers!A184="","",Customers!A184&amp;" — "&amp;Customers!B184)</f>
        <v/>
      </c>
    </row>
    <row r="185" spans="14:14">
      <c r="N185" t="str">
        <f>IF(Customers!A185="","",Customers!A185&amp;" — "&amp;Customers!B185)</f>
        <v/>
      </c>
    </row>
    <row r="186" spans="14:14">
      <c r="N186" t="str">
        <f>IF(Customers!A186="","",Customers!A186&amp;" — "&amp;Customers!B186)</f>
        <v/>
      </c>
    </row>
    <row r="187" spans="14:14">
      <c r="N187" t="str">
        <f>IF(Customers!A187="","",Customers!A187&amp;" — "&amp;Customers!B187)</f>
        <v/>
      </c>
    </row>
    <row r="188" spans="14:14">
      <c r="N188" t="str">
        <f>IF(Customers!A188="","",Customers!A188&amp;" — "&amp;Customers!B188)</f>
        <v/>
      </c>
    </row>
    <row r="189" spans="14:14">
      <c r="N189" t="str">
        <f>IF(Customers!A189="","",Customers!A189&amp;" — "&amp;Customers!B189)</f>
        <v/>
      </c>
    </row>
    <row r="190" spans="14:14">
      <c r="N190" t="str">
        <f>IF(Customers!A190="","",Customers!A190&amp;" — "&amp;Customers!B190)</f>
        <v/>
      </c>
    </row>
    <row r="191" spans="14:14">
      <c r="N191" t="str">
        <f>IF(Customers!A191="","",Customers!A191&amp;" — "&amp;Customers!B191)</f>
        <v/>
      </c>
    </row>
    <row r="192" spans="14:14">
      <c r="N192" t="str">
        <f>IF(Customers!A192="","",Customers!A192&amp;" — "&amp;Customers!B192)</f>
        <v/>
      </c>
    </row>
    <row r="193" spans="14:14">
      <c r="N193" t="str">
        <f>IF(Customers!A193="","",Customers!A193&amp;" — "&amp;Customers!B193)</f>
        <v/>
      </c>
    </row>
    <row r="194" spans="14:14">
      <c r="N194" t="str">
        <f>IF(Customers!A194="","",Customers!A194&amp;" — "&amp;Customers!B194)</f>
        <v/>
      </c>
    </row>
    <row r="195" spans="14:14">
      <c r="N195" t="str">
        <f>IF(Customers!A195="","",Customers!A195&amp;" — "&amp;Customers!B195)</f>
        <v/>
      </c>
    </row>
    <row r="196" spans="14:14">
      <c r="N196" t="str">
        <f>IF(Customers!A196="","",Customers!A196&amp;" — "&amp;Customers!B196)</f>
        <v/>
      </c>
    </row>
    <row r="197" spans="14:14">
      <c r="N197" t="str">
        <f>IF(Customers!A197="","",Customers!A197&amp;" — "&amp;Customers!B197)</f>
        <v/>
      </c>
    </row>
    <row r="198" spans="14:14">
      <c r="N198" t="str">
        <f>IF(Customers!A198="","",Customers!A198&amp;" — "&amp;Customers!B198)</f>
        <v/>
      </c>
    </row>
    <row r="199" spans="14:14">
      <c r="N199" t="str">
        <f>IF(Customers!A199="","",Customers!A199&amp;" — "&amp;Customers!B199)</f>
        <v/>
      </c>
    </row>
    <row r="200" spans="14:14">
      <c r="N200" t="str">
        <f>IF(Customers!A200="","",Customers!A200&amp;" — "&amp;Customers!B200)</f>
        <v/>
      </c>
    </row>
    <row r="201" spans="14:14">
      <c r="N201" t="str">
        <f>IF(Customers!A201="","",Customers!A201&amp;" — "&amp;Customers!B201)</f>
        <v/>
      </c>
    </row>
    <row r="202" spans="14:14">
      <c r="N202" t="str">
        <f>IF(Customers!A202="","",Customers!A202&amp;" — "&amp;Customers!B202)</f>
        <v/>
      </c>
    </row>
    <row r="203" spans="14:14">
      <c r="N203" t="str">
        <f>IF(Customers!A203="","",Customers!A203&amp;" — "&amp;Customers!B203)</f>
        <v/>
      </c>
    </row>
    <row r="204" spans="14:14">
      <c r="N204" t="str">
        <f>IF(Customers!A204="","",Customers!A204&amp;" — "&amp;Customers!B204)</f>
        <v/>
      </c>
    </row>
    <row r="205" spans="14:14">
      <c r="N205" t="str">
        <f>IF(Customers!A205="","",Customers!A205&amp;" — "&amp;Customers!B205)</f>
        <v/>
      </c>
    </row>
    <row r="206" spans="14:14">
      <c r="N206" t="str">
        <f>IF(Customers!A206="","",Customers!A206&amp;" — "&amp;Customers!B206)</f>
        <v/>
      </c>
    </row>
    <row r="207" spans="14:14">
      <c r="N207" t="str">
        <f>IF(Customers!A207="","",Customers!A207&amp;" — "&amp;Customers!B207)</f>
        <v/>
      </c>
    </row>
    <row r="208" spans="14:14">
      <c r="N208" t="str">
        <f>IF(Customers!A208="","",Customers!A208&amp;" — "&amp;Customers!B208)</f>
        <v/>
      </c>
    </row>
    <row r="209" spans="14:14">
      <c r="N209" t="str">
        <f>IF(Customers!A209="","",Customers!A209&amp;" — "&amp;Customers!B209)</f>
        <v/>
      </c>
    </row>
    <row r="210" spans="14:14">
      <c r="N210" t="str">
        <f>IF(Customers!A210="","",Customers!A210&amp;" — "&amp;Customers!B210)</f>
        <v/>
      </c>
    </row>
    <row r="211" spans="14:14">
      <c r="N211" t="str">
        <f>IF(Customers!A211="","",Customers!A211&amp;" — "&amp;Customers!B211)</f>
        <v/>
      </c>
    </row>
    <row r="212" spans="14:14">
      <c r="N212" t="str">
        <f>IF(Customers!A212="","",Customers!A212&amp;" — "&amp;Customers!B212)</f>
        <v/>
      </c>
    </row>
    <row r="213" spans="14:14">
      <c r="N213" t="str">
        <f>IF(Customers!A213="","",Customers!A213&amp;" — "&amp;Customers!B213)</f>
        <v/>
      </c>
    </row>
    <row r="214" spans="14:14">
      <c r="N214" t="str">
        <f>IF(Customers!A214="","",Customers!A214&amp;" — "&amp;Customers!B214)</f>
        <v/>
      </c>
    </row>
    <row r="215" spans="14:14">
      <c r="N215" t="str">
        <f>IF(Customers!A215="","",Customers!A215&amp;" — "&amp;Customers!B215)</f>
        <v/>
      </c>
    </row>
    <row r="216" spans="14:14">
      <c r="N216" t="str">
        <f>IF(Customers!A216="","",Customers!A216&amp;" — "&amp;Customers!B216)</f>
        <v/>
      </c>
    </row>
    <row r="217" spans="14:14">
      <c r="N217" t="str">
        <f>IF(Customers!A217="","",Customers!A217&amp;" — "&amp;Customers!B217)</f>
        <v/>
      </c>
    </row>
    <row r="218" spans="14:14">
      <c r="N218" t="str">
        <f>IF(Customers!A218="","",Customers!A218&amp;" — "&amp;Customers!B218)</f>
        <v/>
      </c>
    </row>
    <row r="219" spans="14:14">
      <c r="N219" t="str">
        <f>IF(Customers!A219="","",Customers!A219&amp;" — "&amp;Customers!B219)</f>
        <v/>
      </c>
    </row>
    <row r="220" spans="14:14">
      <c r="N220" t="str">
        <f>IF(Customers!A220="","",Customers!A220&amp;" — "&amp;Customers!B220)</f>
        <v/>
      </c>
    </row>
    <row r="221" spans="14:14">
      <c r="N221" t="str">
        <f>IF(Customers!A221="","",Customers!A221&amp;" — "&amp;Customers!B221)</f>
        <v/>
      </c>
    </row>
    <row r="222" spans="14:14">
      <c r="N222" t="str">
        <f>IF(Customers!A222="","",Customers!A222&amp;" — "&amp;Customers!B222)</f>
        <v/>
      </c>
    </row>
    <row r="223" spans="14:14">
      <c r="N223" t="str">
        <f>IF(Customers!A223="","",Customers!A223&amp;" — "&amp;Customers!B223)</f>
        <v/>
      </c>
    </row>
    <row r="224" spans="14:14">
      <c r="N224" t="str">
        <f>IF(Customers!A224="","",Customers!A224&amp;" — "&amp;Customers!B224)</f>
        <v/>
      </c>
    </row>
    <row r="225" spans="14:14">
      <c r="N225" t="str">
        <f>IF(Customers!A225="","",Customers!A225&amp;" — "&amp;Customers!B225)</f>
        <v/>
      </c>
    </row>
    <row r="226" spans="14:14">
      <c r="N226" t="str">
        <f>IF(Customers!A226="","",Customers!A226&amp;" — "&amp;Customers!B226)</f>
        <v/>
      </c>
    </row>
    <row r="227" spans="14:14">
      <c r="N227" t="str">
        <f>IF(Customers!A227="","",Customers!A227&amp;" — "&amp;Customers!B227)</f>
        <v/>
      </c>
    </row>
    <row r="228" spans="14:14">
      <c r="N228" t="str">
        <f>IF(Customers!A228="","",Customers!A228&amp;" — "&amp;Customers!B228)</f>
        <v/>
      </c>
    </row>
    <row r="229" spans="14:14">
      <c r="N229" t="str">
        <f>IF(Customers!A229="","",Customers!A229&amp;" — "&amp;Customers!B229)</f>
        <v/>
      </c>
    </row>
    <row r="230" spans="14:14">
      <c r="N230" t="str">
        <f>IF(Customers!A230="","",Customers!A230&amp;" — "&amp;Customers!B230)</f>
        <v/>
      </c>
    </row>
    <row r="231" spans="14:14">
      <c r="N231" t="str">
        <f>IF(Customers!A231="","",Customers!A231&amp;" — "&amp;Customers!B231)</f>
        <v/>
      </c>
    </row>
    <row r="232" spans="14:14">
      <c r="N232" t="str">
        <f>IF(Customers!A232="","",Customers!A232&amp;" — "&amp;Customers!B232)</f>
        <v/>
      </c>
    </row>
    <row r="233" spans="14:14">
      <c r="N233" t="str">
        <f>IF(Customers!A233="","",Customers!A233&amp;" — "&amp;Customers!B233)</f>
        <v/>
      </c>
    </row>
    <row r="234" spans="14:14">
      <c r="N234" t="str">
        <f>IF(Customers!A234="","",Customers!A234&amp;" — "&amp;Customers!B234)</f>
        <v/>
      </c>
    </row>
    <row r="235" spans="14:14">
      <c r="N235" t="str">
        <f>IF(Customers!A235="","",Customers!A235&amp;" — "&amp;Customers!B235)</f>
        <v/>
      </c>
    </row>
    <row r="236" spans="14:14">
      <c r="N236" t="str">
        <f>IF(Customers!A236="","",Customers!A236&amp;" — "&amp;Customers!B236)</f>
        <v/>
      </c>
    </row>
    <row r="237" spans="14:14">
      <c r="N237" t="str">
        <f>IF(Customers!A237="","",Customers!A237&amp;" — "&amp;Customers!B237)</f>
        <v/>
      </c>
    </row>
    <row r="238" spans="14:14">
      <c r="N238" t="str">
        <f>IF(Customers!A238="","",Customers!A238&amp;" — "&amp;Customers!B238)</f>
        <v/>
      </c>
    </row>
    <row r="239" spans="14:14">
      <c r="N239" t="str">
        <f>IF(Customers!A239="","",Customers!A239&amp;" — "&amp;Customers!B239)</f>
        <v/>
      </c>
    </row>
    <row r="240" spans="14:14">
      <c r="N240" t="str">
        <f>IF(Customers!A240="","",Customers!A240&amp;" — "&amp;Customers!B240)</f>
        <v/>
      </c>
    </row>
    <row r="241" spans="14:14">
      <c r="N241" t="str">
        <f>IF(Customers!A241="","",Customers!A241&amp;" — "&amp;Customers!B241)</f>
        <v/>
      </c>
    </row>
    <row r="242" spans="14:14">
      <c r="N242" t="str">
        <f>IF(Customers!A242="","",Customers!A242&amp;" — "&amp;Customers!B242)</f>
        <v/>
      </c>
    </row>
    <row r="243" spans="14:14">
      <c r="N243" t="str">
        <f>IF(Customers!A243="","",Customers!A243&amp;" — "&amp;Customers!B243)</f>
        <v/>
      </c>
    </row>
    <row r="244" spans="14:14">
      <c r="N244" t="str">
        <f>IF(Customers!A244="","",Customers!A244&amp;" — "&amp;Customers!B244)</f>
        <v/>
      </c>
    </row>
    <row r="245" spans="14:14">
      <c r="N245" t="str">
        <f>IF(Customers!A245="","",Customers!A245&amp;" — "&amp;Customers!B245)</f>
        <v/>
      </c>
    </row>
    <row r="246" spans="14:14">
      <c r="N246" t="str">
        <f>IF(Customers!A246="","",Customers!A246&amp;" — "&amp;Customers!B246)</f>
        <v/>
      </c>
    </row>
    <row r="247" spans="14:14">
      <c r="N247" t="str">
        <f>IF(Customers!A247="","",Customers!A247&amp;" — "&amp;Customers!B247)</f>
        <v/>
      </c>
    </row>
    <row r="248" spans="14:14">
      <c r="N248" t="str">
        <f>IF(Customers!A248="","",Customers!A248&amp;" — "&amp;Customers!B248)</f>
        <v/>
      </c>
    </row>
    <row r="249" spans="14:14">
      <c r="N249" t="str">
        <f>IF(Customers!A249="","",Customers!A249&amp;" — "&amp;Customers!B249)</f>
        <v/>
      </c>
    </row>
    <row r="250" spans="14:14">
      <c r="N250" t="str">
        <f>IF(Customers!A250="","",Customers!A250&amp;" — "&amp;Customers!B250)</f>
        <v/>
      </c>
    </row>
    <row r="251" spans="14:14">
      <c r="N251" t="str">
        <f>IF(Customers!A251="","",Customers!A251&amp;" — "&amp;Customers!B251)</f>
        <v/>
      </c>
    </row>
    <row r="252" spans="14:14">
      <c r="N252" t="str">
        <f>IF(Customers!A252="","",Customers!A252&amp;" — "&amp;Customers!B252)</f>
        <v/>
      </c>
    </row>
    <row r="253" spans="14:14">
      <c r="N253" t="str">
        <f>IF(Customers!A253="","",Customers!A253&amp;" — "&amp;Customers!B253)</f>
        <v/>
      </c>
    </row>
    <row r="254" spans="14:14">
      <c r="N254" t="str">
        <f>IF(Customers!A254="","",Customers!A254&amp;" — "&amp;Customers!B254)</f>
        <v/>
      </c>
    </row>
    <row r="255" spans="14:14">
      <c r="N255" t="str">
        <f>IF(Customers!A255="","",Customers!A255&amp;" — "&amp;Customers!B255)</f>
        <v/>
      </c>
    </row>
    <row r="256" spans="14:14">
      <c r="N256" t="str">
        <f>IF(Customers!A256="","",Customers!A256&amp;" — "&amp;Customers!B256)</f>
        <v/>
      </c>
    </row>
    <row r="257" spans="14:14">
      <c r="N257" t="str">
        <f>IF(Customers!A257="","",Customers!A257&amp;" — "&amp;Customers!B257)</f>
        <v/>
      </c>
    </row>
    <row r="258" spans="14:14">
      <c r="N258" t="str">
        <f>IF(Customers!A258="","",Customers!A258&amp;" — "&amp;Customers!B258)</f>
        <v/>
      </c>
    </row>
    <row r="259" spans="14:14">
      <c r="N259" t="str">
        <f>IF(Customers!A259="","",Customers!A259&amp;" — "&amp;Customers!B259)</f>
        <v/>
      </c>
    </row>
    <row r="260" spans="14:14">
      <c r="N260" t="str">
        <f>IF(Customers!A260="","",Customers!A260&amp;" — "&amp;Customers!B260)</f>
        <v/>
      </c>
    </row>
    <row r="261" spans="14:14">
      <c r="N261" t="str">
        <f>IF(Customers!A261="","",Customers!A261&amp;" — "&amp;Customers!B261)</f>
        <v/>
      </c>
    </row>
    <row r="262" spans="14:14">
      <c r="N262" t="str">
        <f>IF(Customers!A262="","",Customers!A262&amp;" — "&amp;Customers!B262)</f>
        <v/>
      </c>
    </row>
    <row r="263" spans="14:14">
      <c r="N263" t="str">
        <f>IF(Customers!A263="","",Customers!A263&amp;" — "&amp;Customers!B263)</f>
        <v/>
      </c>
    </row>
    <row r="264" spans="14:14">
      <c r="N264" t="str">
        <f>IF(Customers!A264="","",Customers!A264&amp;" — "&amp;Customers!B264)</f>
        <v/>
      </c>
    </row>
    <row r="265" spans="14:14">
      <c r="N265" t="str">
        <f>IF(Customers!A265="","",Customers!A265&amp;" — "&amp;Customers!B265)</f>
        <v/>
      </c>
    </row>
    <row r="266" spans="14:14">
      <c r="N266" t="str">
        <f>IF(Customers!A266="","",Customers!A266&amp;" — "&amp;Customers!B266)</f>
        <v/>
      </c>
    </row>
    <row r="267" spans="14:14">
      <c r="N267" t="str">
        <f>IF(Customers!A267="","",Customers!A267&amp;" — "&amp;Customers!B267)</f>
        <v/>
      </c>
    </row>
    <row r="268" spans="14:14">
      <c r="N268" t="str">
        <f>IF(Customers!A268="","",Customers!A268&amp;" — "&amp;Customers!B268)</f>
        <v/>
      </c>
    </row>
    <row r="269" spans="14:14">
      <c r="N269" t="str">
        <f>IF(Customers!A269="","",Customers!A269&amp;" — "&amp;Customers!B269)</f>
        <v/>
      </c>
    </row>
    <row r="270" spans="14:14">
      <c r="N270" t="str">
        <f>IF(Customers!A270="","",Customers!A270&amp;" — "&amp;Customers!B270)</f>
        <v/>
      </c>
    </row>
    <row r="271" spans="14:14">
      <c r="N271" t="str">
        <f>IF(Customers!A271="","",Customers!A271&amp;" — "&amp;Customers!B271)</f>
        <v/>
      </c>
    </row>
    <row r="272" spans="14:14">
      <c r="N272" t="str">
        <f>IF(Customers!A272="","",Customers!A272&amp;" — "&amp;Customers!B272)</f>
        <v/>
      </c>
    </row>
    <row r="273" spans="14:14">
      <c r="N273" t="str">
        <f>IF(Customers!A273="","",Customers!A273&amp;" — "&amp;Customers!B273)</f>
        <v/>
      </c>
    </row>
    <row r="274" spans="14:14">
      <c r="N274" t="str">
        <f>IF(Customers!A274="","",Customers!A274&amp;" — "&amp;Customers!B274)</f>
        <v/>
      </c>
    </row>
    <row r="275" spans="14:14">
      <c r="N275" t="str">
        <f>IF(Customers!A275="","",Customers!A275&amp;" — "&amp;Customers!B275)</f>
        <v/>
      </c>
    </row>
    <row r="276" spans="14:14">
      <c r="N276" t="str">
        <f>IF(Customers!A276="","",Customers!A276&amp;" — "&amp;Customers!B276)</f>
        <v/>
      </c>
    </row>
    <row r="277" spans="14:14">
      <c r="N277" t="str">
        <f>IF(Customers!A277="","",Customers!A277&amp;" — "&amp;Customers!B277)</f>
        <v/>
      </c>
    </row>
    <row r="278" spans="14:14">
      <c r="N278" t="str">
        <f>IF(Customers!A278="","",Customers!A278&amp;" — "&amp;Customers!B278)</f>
        <v/>
      </c>
    </row>
    <row r="279" spans="14:14">
      <c r="N279" t="str">
        <f>IF(Customers!A279="","",Customers!A279&amp;" — "&amp;Customers!B279)</f>
        <v/>
      </c>
    </row>
    <row r="280" spans="14:14">
      <c r="N280" t="str">
        <f>IF(Customers!A280="","",Customers!A280&amp;" — "&amp;Customers!B280)</f>
        <v/>
      </c>
    </row>
    <row r="281" spans="14:14">
      <c r="N281" t="str">
        <f>IF(Customers!A281="","",Customers!A281&amp;" — "&amp;Customers!B281)</f>
        <v/>
      </c>
    </row>
    <row r="282" spans="14:14">
      <c r="N282" t="str">
        <f>IF(Customers!A282="","",Customers!A282&amp;" — "&amp;Customers!B282)</f>
        <v/>
      </c>
    </row>
    <row r="283" spans="14:14">
      <c r="N283" t="str">
        <f>IF(Customers!A283="","",Customers!A283&amp;" — "&amp;Customers!B283)</f>
        <v/>
      </c>
    </row>
    <row r="284" spans="14:14">
      <c r="N284" t="str">
        <f>IF(Customers!A284="","",Customers!A284&amp;" — "&amp;Customers!B284)</f>
        <v/>
      </c>
    </row>
    <row r="285" spans="14:14">
      <c r="N285" t="str">
        <f>IF(Customers!A285="","",Customers!A285&amp;" — "&amp;Customers!B285)</f>
        <v/>
      </c>
    </row>
    <row r="286" spans="14:14">
      <c r="N286" t="str">
        <f>IF(Customers!A286="","",Customers!A286&amp;" — "&amp;Customers!B286)</f>
        <v/>
      </c>
    </row>
    <row r="287" spans="14:14">
      <c r="N287" t="str">
        <f>IF(Customers!A287="","",Customers!A287&amp;" — "&amp;Customers!B287)</f>
        <v/>
      </c>
    </row>
    <row r="288" spans="14:14">
      <c r="N288" t="str">
        <f>IF(Customers!A288="","",Customers!A288&amp;" — "&amp;Customers!B288)</f>
        <v/>
      </c>
    </row>
    <row r="289" spans="14:14">
      <c r="N289" t="str">
        <f>IF(Customers!A289="","",Customers!A289&amp;" — "&amp;Customers!B289)</f>
        <v/>
      </c>
    </row>
    <row r="290" spans="14:14">
      <c r="N290" t="str">
        <f>IF(Customers!A290="","",Customers!A290&amp;" — "&amp;Customers!B290)</f>
        <v/>
      </c>
    </row>
    <row r="291" spans="14:14">
      <c r="N291" t="str">
        <f>IF(Customers!A291="","",Customers!A291&amp;" — "&amp;Customers!B291)</f>
        <v/>
      </c>
    </row>
    <row r="292" spans="14:14">
      <c r="N292" t="str">
        <f>IF(Customers!A292="","",Customers!A292&amp;" — "&amp;Customers!B292)</f>
        <v/>
      </c>
    </row>
    <row r="293" spans="14:14">
      <c r="N293" t="str">
        <f>IF(Customers!A293="","",Customers!A293&amp;" — "&amp;Customers!B293)</f>
        <v/>
      </c>
    </row>
    <row r="294" spans="14:14">
      <c r="N294" t="str">
        <f>IF(Customers!A294="","",Customers!A294&amp;" — "&amp;Customers!B294)</f>
        <v/>
      </c>
    </row>
    <row r="295" spans="14:14">
      <c r="N295" t="str">
        <f>IF(Customers!A295="","",Customers!A295&amp;" — "&amp;Customers!B295)</f>
        <v/>
      </c>
    </row>
    <row r="296" spans="14:14">
      <c r="N296" t="str">
        <f>IF(Customers!A296="","",Customers!A296&amp;" — "&amp;Customers!B296)</f>
        <v/>
      </c>
    </row>
    <row r="297" spans="14:14">
      <c r="N297" t="str">
        <f>IF(Customers!A297="","",Customers!A297&amp;" — "&amp;Customers!B297)</f>
        <v/>
      </c>
    </row>
    <row r="298" spans="14:14">
      <c r="N298" t="str">
        <f>IF(Customers!A298="","",Customers!A298&amp;" — "&amp;Customers!B298)</f>
        <v/>
      </c>
    </row>
    <row r="299" spans="14:14">
      <c r="N299" t="str">
        <f>IF(Customers!A299="","",Customers!A299&amp;" — "&amp;Customers!B299)</f>
        <v/>
      </c>
    </row>
    <row r="300" spans="14:14">
      <c r="N300" t="str">
        <f>IF(Customers!A300="","",Customers!A300&amp;" — "&amp;Customers!B300)</f>
        <v/>
      </c>
    </row>
    <row r="301" spans="14:14">
      <c r="N301" t="str">
        <f>IF(Customers!A301="","",Customers!A301&amp;" — "&amp;Customers!B301)</f>
        <v/>
      </c>
    </row>
    <row r="302" spans="14:14">
      <c r="N302" t="str">
        <f>IF(Customers!A302="","",Customers!A302&amp;" — "&amp;Customers!B302)</f>
        <v/>
      </c>
    </row>
    <row r="303" spans="14:14">
      <c r="N303" t="str">
        <f>IF(Customers!A303="","",Customers!A303&amp;" — "&amp;Customers!B303)</f>
        <v/>
      </c>
    </row>
    <row r="304" spans="14:14">
      <c r="N304" t="str">
        <f>IF(Customers!A304="","",Customers!A304&amp;" — "&amp;Customers!B304)</f>
        <v/>
      </c>
    </row>
    <row r="305" spans="14:14">
      <c r="N305" t="str">
        <f>IF(Customers!A305="","",Customers!A305&amp;" — "&amp;Customers!B305)</f>
        <v/>
      </c>
    </row>
    <row r="306" spans="14:14">
      <c r="N306" t="str">
        <f>IF(Customers!A306="","",Customers!A306&amp;" — "&amp;Customers!B306)</f>
        <v/>
      </c>
    </row>
    <row r="307" spans="14:14">
      <c r="N307" t="str">
        <f>IF(Customers!A307="","",Customers!A307&amp;" — "&amp;Customers!B307)</f>
        <v/>
      </c>
    </row>
    <row r="308" spans="14:14">
      <c r="N308" t="str">
        <f>IF(Customers!A308="","",Customers!A308&amp;" — "&amp;Customers!B308)</f>
        <v/>
      </c>
    </row>
    <row r="309" spans="14:14">
      <c r="N309" t="str">
        <f>IF(Customers!A309="","",Customers!A309&amp;" — "&amp;Customers!B309)</f>
        <v/>
      </c>
    </row>
    <row r="310" spans="14:14">
      <c r="N310" t="str">
        <f>IF(Customers!A310="","",Customers!A310&amp;" — "&amp;Customers!B310)</f>
        <v/>
      </c>
    </row>
    <row r="311" spans="14:14">
      <c r="N311" t="str">
        <f>IF(Customers!A311="","",Customers!A311&amp;" — "&amp;Customers!B311)</f>
        <v/>
      </c>
    </row>
    <row r="312" spans="14:14">
      <c r="N312" t="str">
        <f>IF(Customers!A312="","",Customers!A312&amp;" — "&amp;Customers!B312)</f>
        <v/>
      </c>
    </row>
    <row r="313" spans="14:14">
      <c r="N313" t="str">
        <f>IF(Customers!A313="","",Customers!A313&amp;" — "&amp;Customers!B313)</f>
        <v/>
      </c>
    </row>
    <row r="314" spans="14:14">
      <c r="N314" t="str">
        <f>IF(Customers!A314="","",Customers!A314&amp;" — "&amp;Customers!B314)</f>
        <v/>
      </c>
    </row>
    <row r="315" spans="14:14">
      <c r="N315" t="str">
        <f>IF(Customers!A315="","",Customers!A315&amp;" — "&amp;Customers!B315)</f>
        <v/>
      </c>
    </row>
    <row r="316" spans="14:14">
      <c r="N316" t="str">
        <f>IF(Customers!A316="","",Customers!A316&amp;" — "&amp;Customers!B316)</f>
        <v/>
      </c>
    </row>
    <row r="317" spans="14:14">
      <c r="N317" t="str">
        <f>IF(Customers!A317="","",Customers!A317&amp;" — "&amp;Customers!B317)</f>
        <v/>
      </c>
    </row>
    <row r="318" spans="14:14">
      <c r="N318" t="str">
        <f>IF(Customers!A318="","",Customers!A318&amp;" — "&amp;Customers!B318)</f>
        <v/>
      </c>
    </row>
    <row r="319" spans="14:14">
      <c r="N319" t="str">
        <f>IF(Customers!A319="","",Customers!A319&amp;" — "&amp;Customers!B319)</f>
        <v/>
      </c>
    </row>
    <row r="320" spans="14:14">
      <c r="N320" t="str">
        <f>IF(Customers!A320="","",Customers!A320&amp;" — "&amp;Customers!B320)</f>
        <v/>
      </c>
    </row>
    <row r="321" spans="14:14">
      <c r="N321" t="str">
        <f>IF(Customers!A321="","",Customers!A321&amp;" — "&amp;Customers!B321)</f>
        <v/>
      </c>
    </row>
    <row r="322" spans="14:14">
      <c r="N322" t="str">
        <f>IF(Customers!A322="","",Customers!A322&amp;" — "&amp;Customers!B322)</f>
        <v/>
      </c>
    </row>
    <row r="323" spans="14:14">
      <c r="N323" t="str">
        <f>IF(Customers!A323="","",Customers!A323&amp;" — "&amp;Customers!B323)</f>
        <v/>
      </c>
    </row>
    <row r="324" spans="14:14">
      <c r="N324" t="str">
        <f>IF(Customers!A324="","",Customers!A324&amp;" — "&amp;Customers!B324)</f>
        <v/>
      </c>
    </row>
    <row r="325" spans="14:14">
      <c r="N325" t="str">
        <f>IF(Customers!A325="","",Customers!A325&amp;" — "&amp;Customers!B325)</f>
        <v/>
      </c>
    </row>
    <row r="326" spans="14:14">
      <c r="N326" t="str">
        <f>IF(Customers!A326="","",Customers!A326&amp;" — "&amp;Customers!B326)</f>
        <v/>
      </c>
    </row>
    <row r="327" spans="14:14">
      <c r="N327" t="str">
        <f>IF(Customers!A327="","",Customers!A327&amp;" — "&amp;Customers!B327)</f>
        <v/>
      </c>
    </row>
    <row r="328" spans="14:14">
      <c r="N328" t="str">
        <f>IF(Customers!A328="","",Customers!A328&amp;" — "&amp;Customers!B328)</f>
        <v/>
      </c>
    </row>
    <row r="329" spans="14:14">
      <c r="N329" t="str">
        <f>IF(Customers!A329="","",Customers!A329&amp;" — "&amp;Customers!B329)</f>
        <v/>
      </c>
    </row>
    <row r="330" spans="14:14">
      <c r="N330" t="str">
        <f>IF(Customers!A330="","",Customers!A330&amp;" — "&amp;Customers!B330)</f>
        <v/>
      </c>
    </row>
    <row r="331" spans="14:14">
      <c r="N331" t="str">
        <f>IF(Customers!A331="","",Customers!A331&amp;" — "&amp;Customers!B331)</f>
        <v/>
      </c>
    </row>
    <row r="332" spans="14:14">
      <c r="N332" t="str">
        <f>IF(Customers!A332="","",Customers!A332&amp;" — "&amp;Customers!B332)</f>
        <v/>
      </c>
    </row>
    <row r="333" spans="14:14">
      <c r="N333" t="str">
        <f>IF(Customers!A333="","",Customers!A333&amp;" — "&amp;Customers!B333)</f>
        <v/>
      </c>
    </row>
    <row r="334" spans="14:14">
      <c r="N334" t="str">
        <f>IF(Customers!A334="","",Customers!A334&amp;" — "&amp;Customers!B334)</f>
        <v/>
      </c>
    </row>
    <row r="335" spans="14:14">
      <c r="N335" t="str">
        <f>IF(Customers!A335="","",Customers!A335&amp;" — "&amp;Customers!B335)</f>
        <v/>
      </c>
    </row>
    <row r="336" spans="14:14">
      <c r="N336" t="str">
        <f>IF(Customers!A336="","",Customers!A336&amp;" — "&amp;Customers!B336)</f>
        <v/>
      </c>
    </row>
    <row r="337" spans="14:14">
      <c r="N337" t="str">
        <f>IF(Customers!A337="","",Customers!A337&amp;" — "&amp;Customers!B337)</f>
        <v/>
      </c>
    </row>
    <row r="338" spans="14:14">
      <c r="N338" t="str">
        <f>IF(Customers!A338="","",Customers!A338&amp;" — "&amp;Customers!B338)</f>
        <v/>
      </c>
    </row>
    <row r="339" spans="14:14">
      <c r="N339" t="str">
        <f>IF(Customers!A339="","",Customers!A339&amp;" — "&amp;Customers!B339)</f>
        <v/>
      </c>
    </row>
    <row r="340" spans="14:14">
      <c r="N340" t="str">
        <f>IF(Customers!A340="","",Customers!A340&amp;" — "&amp;Customers!B340)</f>
        <v/>
      </c>
    </row>
    <row r="341" spans="14:14">
      <c r="N341" t="str">
        <f>IF(Customers!A341="","",Customers!A341&amp;" — "&amp;Customers!B341)</f>
        <v/>
      </c>
    </row>
    <row r="342" spans="14:14">
      <c r="N342" t="str">
        <f>IF(Customers!A342="","",Customers!A342&amp;" — "&amp;Customers!B342)</f>
        <v/>
      </c>
    </row>
    <row r="343" spans="14:14">
      <c r="N343" t="str">
        <f>IF(Customers!A343="","",Customers!A343&amp;" — "&amp;Customers!B343)</f>
        <v/>
      </c>
    </row>
    <row r="344" spans="14:14">
      <c r="N344" t="str">
        <f>IF(Customers!A344="","",Customers!A344&amp;" — "&amp;Customers!B344)</f>
        <v/>
      </c>
    </row>
    <row r="345" spans="14:14">
      <c r="N345" t="str">
        <f>IF(Customers!A345="","",Customers!A345&amp;" — "&amp;Customers!B345)</f>
        <v/>
      </c>
    </row>
    <row r="346" spans="14:14">
      <c r="N346" t="str">
        <f>IF(Customers!A346="","",Customers!A346&amp;" — "&amp;Customers!B346)</f>
        <v/>
      </c>
    </row>
    <row r="347" spans="14:14">
      <c r="N347" t="str">
        <f>IF(Customers!A347="","",Customers!A347&amp;" — "&amp;Customers!B347)</f>
        <v/>
      </c>
    </row>
    <row r="348" spans="14:14">
      <c r="N348" t="str">
        <f>IF(Customers!A348="","",Customers!A348&amp;" — "&amp;Customers!B348)</f>
        <v/>
      </c>
    </row>
    <row r="349" spans="14:14">
      <c r="N349" t="str">
        <f>IF(Customers!A349="","",Customers!A349&amp;" — "&amp;Customers!B349)</f>
        <v/>
      </c>
    </row>
    <row r="350" spans="14:14">
      <c r="N350" t="str">
        <f>IF(Customers!A350="","",Customers!A350&amp;" — "&amp;Customers!B350)</f>
        <v/>
      </c>
    </row>
    <row r="351" spans="14:14">
      <c r="N351" t="str">
        <f>IF(Customers!A351="","",Customers!A351&amp;" — "&amp;Customers!B351)</f>
        <v/>
      </c>
    </row>
    <row r="352" spans="14:14">
      <c r="N352" t="str">
        <f>IF(Customers!A352="","",Customers!A352&amp;" — "&amp;Customers!B352)</f>
        <v/>
      </c>
    </row>
    <row r="353" spans="14:14">
      <c r="N353" t="str">
        <f>IF(Customers!A353="","",Customers!A353&amp;" — "&amp;Customers!B353)</f>
        <v/>
      </c>
    </row>
    <row r="354" spans="14:14">
      <c r="N354" t="str">
        <f>IF(Customers!A354="","",Customers!A354&amp;" — "&amp;Customers!B354)</f>
        <v/>
      </c>
    </row>
    <row r="355" spans="14:14">
      <c r="N355" t="str">
        <f>IF(Customers!A355="","",Customers!A355&amp;" — "&amp;Customers!B355)</f>
        <v/>
      </c>
    </row>
    <row r="356" spans="14:14">
      <c r="N356" t="str">
        <f>IF(Customers!A356="","",Customers!A356&amp;" — "&amp;Customers!B356)</f>
        <v/>
      </c>
    </row>
    <row r="357" spans="14:14">
      <c r="N357" t="str">
        <f>IF(Customers!A357="","",Customers!A357&amp;" — "&amp;Customers!B357)</f>
        <v/>
      </c>
    </row>
    <row r="358" spans="14:14">
      <c r="N358" t="str">
        <f>IF(Customers!A358="","",Customers!A358&amp;" — "&amp;Customers!B358)</f>
        <v/>
      </c>
    </row>
    <row r="359" spans="14:14">
      <c r="N359" t="str">
        <f>IF(Customers!A359="","",Customers!A359&amp;" — "&amp;Customers!B359)</f>
        <v/>
      </c>
    </row>
    <row r="360" spans="14:14">
      <c r="N360" t="str">
        <f>IF(Customers!A360="","",Customers!A360&amp;" — "&amp;Customers!B360)</f>
        <v/>
      </c>
    </row>
    <row r="361" spans="14:14">
      <c r="N361" t="str">
        <f>IF(Customers!A361="","",Customers!A361&amp;" — "&amp;Customers!B361)</f>
        <v/>
      </c>
    </row>
    <row r="362" spans="14:14">
      <c r="N362" t="str">
        <f>IF(Customers!A362="","",Customers!A362&amp;" — "&amp;Customers!B362)</f>
        <v/>
      </c>
    </row>
    <row r="363" spans="14:14">
      <c r="N363" t="str">
        <f>IF(Customers!A363="","",Customers!A363&amp;" — "&amp;Customers!B363)</f>
        <v/>
      </c>
    </row>
    <row r="364" spans="14:14">
      <c r="N364" t="str">
        <f>IF(Customers!A364="","",Customers!A364&amp;" — "&amp;Customers!B364)</f>
        <v/>
      </c>
    </row>
    <row r="365" spans="14:14">
      <c r="N365" t="str">
        <f>IF(Customers!A365="","",Customers!A365&amp;" — "&amp;Customers!B365)</f>
        <v/>
      </c>
    </row>
    <row r="366" spans="14:14">
      <c r="N366" t="str">
        <f>IF(Customers!A366="","",Customers!A366&amp;" — "&amp;Customers!B366)</f>
        <v/>
      </c>
    </row>
    <row r="367" spans="14:14">
      <c r="N367" t="str">
        <f>IF(Customers!A367="","",Customers!A367&amp;" — "&amp;Customers!B367)</f>
        <v/>
      </c>
    </row>
    <row r="368" spans="14:14">
      <c r="N368" t="str">
        <f>IF(Customers!A368="","",Customers!A368&amp;" — "&amp;Customers!B368)</f>
        <v/>
      </c>
    </row>
    <row r="369" spans="14:14">
      <c r="N369" t="str">
        <f>IF(Customers!A369="","",Customers!A369&amp;" — "&amp;Customers!B369)</f>
        <v/>
      </c>
    </row>
    <row r="370" spans="14:14">
      <c r="N370" t="str">
        <f>IF(Customers!A370="","",Customers!A370&amp;" — "&amp;Customers!B370)</f>
        <v/>
      </c>
    </row>
    <row r="371" spans="14:14">
      <c r="N371" t="str">
        <f>IF(Customers!A371="","",Customers!A371&amp;" — "&amp;Customers!B371)</f>
        <v/>
      </c>
    </row>
    <row r="372" spans="14:14">
      <c r="N372" t="str">
        <f>IF(Customers!A372="","",Customers!A372&amp;" — "&amp;Customers!B372)</f>
        <v/>
      </c>
    </row>
    <row r="373" spans="14:14">
      <c r="N373" t="str">
        <f>IF(Customers!A373="","",Customers!A373&amp;" — "&amp;Customers!B373)</f>
        <v/>
      </c>
    </row>
    <row r="374" spans="14:14">
      <c r="N374" t="str">
        <f>IF(Customers!A374="","",Customers!A374&amp;" — "&amp;Customers!B374)</f>
        <v/>
      </c>
    </row>
    <row r="375" spans="14:14">
      <c r="N375" t="str">
        <f>IF(Customers!A375="","",Customers!A375&amp;" — "&amp;Customers!B375)</f>
        <v/>
      </c>
    </row>
    <row r="376" spans="14:14">
      <c r="N376" t="str">
        <f>IF(Customers!A376="","",Customers!A376&amp;" — "&amp;Customers!B376)</f>
        <v/>
      </c>
    </row>
    <row r="377" spans="14:14">
      <c r="N377" t="str">
        <f>IF(Customers!A377="","",Customers!A377&amp;" — "&amp;Customers!B377)</f>
        <v/>
      </c>
    </row>
    <row r="378" spans="14:14">
      <c r="N378" t="str">
        <f>IF(Customers!A378="","",Customers!A378&amp;" — "&amp;Customers!B378)</f>
        <v/>
      </c>
    </row>
    <row r="379" spans="14:14">
      <c r="N379" t="str">
        <f>IF(Customers!A379="","",Customers!A379&amp;" — "&amp;Customers!B379)</f>
        <v/>
      </c>
    </row>
    <row r="380" spans="14:14">
      <c r="N380" t="str">
        <f>IF(Customers!A380="","",Customers!A380&amp;" — "&amp;Customers!B380)</f>
        <v/>
      </c>
    </row>
    <row r="381" spans="14:14">
      <c r="N381" t="str">
        <f>IF(Customers!A381="","",Customers!A381&amp;" — "&amp;Customers!B381)</f>
        <v/>
      </c>
    </row>
    <row r="382" spans="14:14">
      <c r="N382" t="str">
        <f>IF(Customers!A382="","",Customers!A382&amp;" — "&amp;Customers!B382)</f>
        <v/>
      </c>
    </row>
    <row r="383" spans="14:14">
      <c r="N383" t="str">
        <f>IF(Customers!A383="","",Customers!A383&amp;" — "&amp;Customers!B383)</f>
        <v/>
      </c>
    </row>
    <row r="384" spans="14:14">
      <c r="N384" t="str">
        <f>IF(Customers!A384="","",Customers!A384&amp;" — "&amp;Customers!B384)</f>
        <v/>
      </c>
    </row>
    <row r="385" spans="14:14">
      <c r="N385" t="str">
        <f>IF(Customers!A385="","",Customers!A385&amp;" — "&amp;Customers!B385)</f>
        <v/>
      </c>
    </row>
    <row r="386" spans="14:14">
      <c r="N386" t="str">
        <f>IF(Customers!A386="","",Customers!A386&amp;" — "&amp;Customers!B386)</f>
        <v/>
      </c>
    </row>
    <row r="387" spans="14:14">
      <c r="N387" t="str">
        <f>IF(Customers!A387="","",Customers!A387&amp;" — "&amp;Customers!B387)</f>
        <v/>
      </c>
    </row>
    <row r="388" spans="14:14">
      <c r="N388" t="str">
        <f>IF(Customers!A388="","",Customers!A388&amp;" — "&amp;Customers!B388)</f>
        <v/>
      </c>
    </row>
    <row r="389" spans="14:14">
      <c r="N389" t="str">
        <f>IF(Customers!A389="","",Customers!A389&amp;" — "&amp;Customers!B389)</f>
        <v/>
      </c>
    </row>
    <row r="390" spans="14:14">
      <c r="N390" t="str">
        <f>IF(Customers!A390="","",Customers!A390&amp;" — "&amp;Customers!B390)</f>
        <v/>
      </c>
    </row>
    <row r="391" spans="14:14">
      <c r="N391" t="str">
        <f>IF(Customers!A391="","",Customers!A391&amp;" — "&amp;Customers!B391)</f>
        <v/>
      </c>
    </row>
    <row r="392" spans="14:14">
      <c r="N392" t="str">
        <f>IF(Customers!A392="","",Customers!A392&amp;" — "&amp;Customers!B392)</f>
        <v/>
      </c>
    </row>
    <row r="393" spans="14:14">
      <c r="N393" t="str">
        <f>IF(Customers!A393="","",Customers!A393&amp;" — "&amp;Customers!B393)</f>
        <v/>
      </c>
    </row>
    <row r="394" spans="14:14">
      <c r="N394" t="str">
        <f>IF(Customers!A394="","",Customers!A394&amp;" — "&amp;Customers!B394)</f>
        <v/>
      </c>
    </row>
    <row r="395" spans="14:14">
      <c r="N395" t="str">
        <f>IF(Customers!A395="","",Customers!A395&amp;" — "&amp;Customers!B395)</f>
        <v/>
      </c>
    </row>
    <row r="396" spans="14:14">
      <c r="N396" t="str">
        <f>IF(Customers!A396="","",Customers!A396&amp;" — "&amp;Customers!B396)</f>
        <v/>
      </c>
    </row>
    <row r="397" spans="14:14">
      <c r="N397" t="str">
        <f>IF(Customers!A397="","",Customers!A397&amp;" — "&amp;Customers!B397)</f>
        <v/>
      </c>
    </row>
    <row r="398" spans="14:14">
      <c r="N398" t="str">
        <f>IF(Customers!A398="","",Customers!A398&amp;" — "&amp;Customers!B398)</f>
        <v/>
      </c>
    </row>
    <row r="399" spans="14:14">
      <c r="N399" t="str">
        <f>IF(Customers!A399="","",Customers!A399&amp;" — "&amp;Customers!B399)</f>
        <v/>
      </c>
    </row>
    <row r="400" spans="14:14">
      <c r="N400" t="str">
        <f>IF(Customers!A400="","",Customers!A400&amp;" — "&amp;Customers!B400)</f>
        <v/>
      </c>
    </row>
    <row r="401" spans="14:14">
      <c r="N401" t="str">
        <f>IF(Customers!A401="","",Customers!A401&amp;" — "&amp;Customers!B401)</f>
        <v/>
      </c>
    </row>
    <row r="402" spans="14:14">
      <c r="N402" t="str">
        <f>IF(Customers!A402="","",Customers!A402&amp;" — "&amp;Customers!B402)</f>
        <v/>
      </c>
    </row>
    <row r="403" spans="14:14">
      <c r="N403" t="str">
        <f>IF(Customers!A403="","",Customers!A403&amp;" — "&amp;Customers!B403)</f>
        <v/>
      </c>
    </row>
    <row r="404" spans="14:14">
      <c r="N404" t="str">
        <f>IF(Customers!A404="","",Customers!A404&amp;" — "&amp;Customers!B404)</f>
        <v/>
      </c>
    </row>
    <row r="405" spans="14:14">
      <c r="N405" t="str">
        <f>IF(Customers!A405="","",Customers!A405&amp;" — "&amp;Customers!B405)</f>
        <v/>
      </c>
    </row>
    <row r="406" spans="14:14">
      <c r="N406" t="str">
        <f>IF(Customers!A406="","",Customers!A406&amp;" — "&amp;Customers!B406)</f>
        <v/>
      </c>
    </row>
    <row r="407" spans="14:14">
      <c r="N407" t="str">
        <f>IF(Customers!A407="","",Customers!A407&amp;" — "&amp;Customers!B407)</f>
        <v/>
      </c>
    </row>
    <row r="408" spans="14:14">
      <c r="N408" t="str">
        <f>IF(Customers!A408="","",Customers!A408&amp;" — "&amp;Customers!B408)</f>
        <v/>
      </c>
    </row>
    <row r="409" spans="14:14">
      <c r="N409" t="str">
        <f>IF(Customers!A409="","",Customers!A409&amp;" — "&amp;Customers!B409)</f>
        <v/>
      </c>
    </row>
    <row r="410" spans="14:14">
      <c r="N410" t="str">
        <f>IF(Customers!A410="","",Customers!A410&amp;" — "&amp;Customers!B410)</f>
        <v/>
      </c>
    </row>
    <row r="411" spans="14:14">
      <c r="N411" t="str">
        <f>IF(Customers!A411="","",Customers!A411&amp;" — "&amp;Customers!B411)</f>
        <v/>
      </c>
    </row>
    <row r="412" spans="14:14">
      <c r="N412" t="str">
        <f>IF(Customers!A412="","",Customers!A412&amp;" — "&amp;Customers!B412)</f>
        <v/>
      </c>
    </row>
    <row r="413" spans="14:14">
      <c r="N413" t="str">
        <f>IF(Customers!A413="","",Customers!A413&amp;" — "&amp;Customers!B413)</f>
        <v/>
      </c>
    </row>
    <row r="414" spans="14:14">
      <c r="N414" t="str">
        <f>IF(Customers!A414="","",Customers!A414&amp;" — "&amp;Customers!B414)</f>
        <v/>
      </c>
    </row>
    <row r="415" spans="14:14">
      <c r="N415" t="str">
        <f>IF(Customers!A415="","",Customers!A415&amp;" — "&amp;Customers!B415)</f>
        <v/>
      </c>
    </row>
    <row r="416" spans="14:14">
      <c r="N416" t="str">
        <f>IF(Customers!A416="","",Customers!A416&amp;" — "&amp;Customers!B416)</f>
        <v/>
      </c>
    </row>
    <row r="417" spans="14:14">
      <c r="N417" t="str">
        <f>IF(Customers!A417="","",Customers!A417&amp;" — "&amp;Customers!B417)</f>
        <v/>
      </c>
    </row>
    <row r="418" spans="14:14">
      <c r="N418" t="str">
        <f>IF(Customers!A418="","",Customers!A418&amp;" — "&amp;Customers!B418)</f>
        <v/>
      </c>
    </row>
    <row r="419" spans="14:14">
      <c r="N419" t="str">
        <f>IF(Customers!A419="","",Customers!A419&amp;" — "&amp;Customers!B419)</f>
        <v/>
      </c>
    </row>
    <row r="420" spans="14:14">
      <c r="N420" t="str">
        <f>IF(Customers!A420="","",Customers!A420&amp;" — "&amp;Customers!B420)</f>
        <v/>
      </c>
    </row>
    <row r="421" spans="14:14">
      <c r="N421" t="str">
        <f>IF(Customers!A421="","",Customers!A421&amp;" — "&amp;Customers!B421)</f>
        <v/>
      </c>
    </row>
    <row r="422" spans="14:14">
      <c r="N422" t="str">
        <f>IF(Customers!A422="","",Customers!A422&amp;" — "&amp;Customers!B422)</f>
        <v/>
      </c>
    </row>
    <row r="423" spans="14:14">
      <c r="N423" t="str">
        <f>IF(Customers!A423="","",Customers!A423&amp;" — "&amp;Customers!B423)</f>
        <v/>
      </c>
    </row>
    <row r="424" spans="14:14">
      <c r="N424" t="str">
        <f>IF(Customers!A424="","",Customers!A424&amp;" — "&amp;Customers!B424)</f>
        <v/>
      </c>
    </row>
    <row r="425" spans="14:14">
      <c r="N425" t="str">
        <f>IF(Customers!A425="","",Customers!A425&amp;" — "&amp;Customers!B425)</f>
        <v/>
      </c>
    </row>
    <row r="426" spans="14:14">
      <c r="N426" t="str">
        <f>IF(Customers!A426="","",Customers!A426&amp;" — "&amp;Customers!B426)</f>
        <v/>
      </c>
    </row>
    <row r="427" spans="14:14">
      <c r="N427" t="str">
        <f>IF(Customers!A427="","",Customers!A427&amp;" — "&amp;Customers!B427)</f>
        <v/>
      </c>
    </row>
    <row r="428" spans="14:14">
      <c r="N428" t="str">
        <f>IF(Customers!A428="","",Customers!A428&amp;" — "&amp;Customers!B428)</f>
        <v/>
      </c>
    </row>
    <row r="429" spans="14:14">
      <c r="N429" t="str">
        <f>IF(Customers!A429="","",Customers!A429&amp;" — "&amp;Customers!B429)</f>
        <v/>
      </c>
    </row>
    <row r="430" spans="14:14">
      <c r="N430" t="str">
        <f>IF(Customers!A430="","",Customers!A430&amp;" — "&amp;Customers!B430)</f>
        <v/>
      </c>
    </row>
    <row r="431" spans="14:14">
      <c r="N431" t="str">
        <f>IF(Customers!A431="","",Customers!A431&amp;" — "&amp;Customers!B431)</f>
        <v/>
      </c>
    </row>
    <row r="432" spans="14:14">
      <c r="N432" t="str">
        <f>IF(Customers!A432="","",Customers!A432&amp;" — "&amp;Customers!B432)</f>
        <v/>
      </c>
    </row>
    <row r="433" spans="14:14">
      <c r="N433" t="str">
        <f>IF(Customers!A433="","",Customers!A433&amp;" — "&amp;Customers!B433)</f>
        <v/>
      </c>
    </row>
    <row r="434" spans="14:14">
      <c r="N434" t="str">
        <f>IF(Customers!A434="","",Customers!A434&amp;" — "&amp;Customers!B434)</f>
        <v/>
      </c>
    </row>
    <row r="435" spans="14:14">
      <c r="N435" t="str">
        <f>IF(Customers!A435="","",Customers!A435&amp;" — "&amp;Customers!B435)</f>
        <v/>
      </c>
    </row>
    <row r="436" spans="14:14">
      <c r="N436" t="str">
        <f>IF(Customers!A436="","",Customers!A436&amp;" — "&amp;Customers!B436)</f>
        <v/>
      </c>
    </row>
    <row r="437" spans="14:14">
      <c r="N437" t="str">
        <f>IF(Customers!A437="","",Customers!A437&amp;" — "&amp;Customers!B437)</f>
        <v/>
      </c>
    </row>
    <row r="438" spans="14:14">
      <c r="N438" t="str">
        <f>IF(Customers!A438="","",Customers!A438&amp;" — "&amp;Customers!B438)</f>
        <v/>
      </c>
    </row>
    <row r="439" spans="14:14">
      <c r="N439" t="str">
        <f>IF(Customers!A439="","",Customers!A439&amp;" — "&amp;Customers!B439)</f>
        <v/>
      </c>
    </row>
    <row r="440" spans="14:14">
      <c r="N440" t="str">
        <f>IF(Customers!A440="","",Customers!A440&amp;" — "&amp;Customers!B440)</f>
        <v/>
      </c>
    </row>
    <row r="441" spans="14:14">
      <c r="N441" t="str">
        <f>IF(Customers!A441="","",Customers!A441&amp;" — "&amp;Customers!B441)</f>
        <v/>
      </c>
    </row>
    <row r="442" spans="14:14">
      <c r="N442" t="str">
        <f>IF(Customers!A442="","",Customers!A442&amp;" — "&amp;Customers!B442)</f>
        <v/>
      </c>
    </row>
    <row r="443" spans="14:14">
      <c r="N443" t="str">
        <f>IF(Customers!A443="","",Customers!A443&amp;" — "&amp;Customers!B443)</f>
        <v/>
      </c>
    </row>
    <row r="444" spans="14:14">
      <c r="N444" t="str">
        <f>IF(Customers!A444="","",Customers!A444&amp;" — "&amp;Customers!B444)</f>
        <v/>
      </c>
    </row>
    <row r="445" spans="14:14">
      <c r="N445" t="str">
        <f>IF(Customers!A445="","",Customers!A445&amp;" — "&amp;Customers!B445)</f>
        <v/>
      </c>
    </row>
    <row r="446" spans="14:14">
      <c r="N446" t="str">
        <f>IF(Customers!A446="","",Customers!A446&amp;" — "&amp;Customers!B446)</f>
        <v/>
      </c>
    </row>
    <row r="447" spans="14:14">
      <c r="N447" t="str">
        <f>IF(Customers!A447="","",Customers!A447&amp;" — "&amp;Customers!B447)</f>
        <v/>
      </c>
    </row>
    <row r="448" spans="14:14">
      <c r="N448" t="str">
        <f>IF(Customers!A448="","",Customers!A448&amp;" — "&amp;Customers!B448)</f>
        <v/>
      </c>
    </row>
    <row r="449" spans="14:14">
      <c r="N449" t="str">
        <f>IF(Customers!A449="","",Customers!A449&amp;" — "&amp;Customers!B449)</f>
        <v/>
      </c>
    </row>
    <row r="450" spans="14:14">
      <c r="N450" t="str">
        <f>IF(Customers!A450="","",Customers!A450&amp;" — "&amp;Customers!B450)</f>
        <v/>
      </c>
    </row>
    <row r="451" spans="14:14">
      <c r="N451" t="str">
        <f>IF(Customers!A451="","",Customers!A451&amp;" — "&amp;Customers!B451)</f>
        <v/>
      </c>
    </row>
    <row r="452" spans="14:14">
      <c r="N452" t="str">
        <f>IF(Customers!A452="","",Customers!A452&amp;" — "&amp;Customers!B452)</f>
        <v/>
      </c>
    </row>
    <row r="453" spans="14:14">
      <c r="N453" t="str">
        <f>IF(Customers!A453="","",Customers!A453&amp;" — "&amp;Customers!B453)</f>
        <v/>
      </c>
    </row>
    <row r="454" spans="14:14">
      <c r="N454" t="str">
        <f>IF(Customers!A454="","",Customers!A454&amp;" — "&amp;Customers!B454)</f>
        <v/>
      </c>
    </row>
    <row r="455" spans="14:14">
      <c r="N455" t="str">
        <f>IF(Customers!A455="","",Customers!A455&amp;" — "&amp;Customers!B455)</f>
        <v/>
      </c>
    </row>
    <row r="456" spans="14:14">
      <c r="N456" t="str">
        <f>IF(Customers!A456="","",Customers!A456&amp;" — "&amp;Customers!B456)</f>
        <v/>
      </c>
    </row>
    <row r="457" spans="14:14">
      <c r="N457" t="str">
        <f>IF(Customers!A457="","",Customers!A457&amp;" — "&amp;Customers!B457)</f>
        <v/>
      </c>
    </row>
    <row r="458" spans="14:14">
      <c r="N458" t="str">
        <f>IF(Customers!A458="","",Customers!A458&amp;" — "&amp;Customers!B458)</f>
        <v/>
      </c>
    </row>
    <row r="459" spans="14:14">
      <c r="N459" t="str">
        <f>IF(Customers!A459="","",Customers!A459&amp;" — "&amp;Customers!B459)</f>
        <v/>
      </c>
    </row>
    <row r="460" spans="14:14">
      <c r="N460" t="str">
        <f>IF(Customers!A460="","",Customers!A460&amp;" — "&amp;Customers!B460)</f>
        <v/>
      </c>
    </row>
    <row r="461" spans="14:14">
      <c r="N461" t="str">
        <f>IF(Customers!A461="","",Customers!A461&amp;" — "&amp;Customers!B461)</f>
        <v/>
      </c>
    </row>
    <row r="462" spans="14:14">
      <c r="N462" t="str">
        <f>IF(Customers!A462="","",Customers!A462&amp;" — "&amp;Customers!B462)</f>
        <v/>
      </c>
    </row>
    <row r="463" spans="14:14">
      <c r="N463" t="str">
        <f>IF(Customers!A463="","",Customers!A463&amp;" — "&amp;Customers!B463)</f>
        <v/>
      </c>
    </row>
    <row r="464" spans="14:14">
      <c r="N464" t="str">
        <f>IF(Customers!A464="","",Customers!A464&amp;" — "&amp;Customers!B464)</f>
        <v/>
      </c>
    </row>
    <row r="465" spans="14:14">
      <c r="N465" t="str">
        <f>IF(Customers!A465="","",Customers!A465&amp;" — "&amp;Customers!B465)</f>
        <v/>
      </c>
    </row>
    <row r="466" spans="14:14">
      <c r="N466" t="str">
        <f>IF(Customers!A466="","",Customers!A466&amp;" — "&amp;Customers!B466)</f>
        <v/>
      </c>
    </row>
    <row r="467" spans="14:14">
      <c r="N467" t="str">
        <f>IF(Customers!A467="","",Customers!A467&amp;" — "&amp;Customers!B467)</f>
        <v/>
      </c>
    </row>
    <row r="468" spans="14:14">
      <c r="N468" t="str">
        <f>IF(Customers!A468="","",Customers!A468&amp;" — "&amp;Customers!B468)</f>
        <v/>
      </c>
    </row>
    <row r="469" spans="14:14">
      <c r="N469" t="str">
        <f>IF(Customers!A469="","",Customers!A469&amp;" — "&amp;Customers!B469)</f>
        <v/>
      </c>
    </row>
    <row r="470" spans="14:14">
      <c r="N470" t="str">
        <f>IF(Customers!A470="","",Customers!A470&amp;" — "&amp;Customers!B470)</f>
        <v/>
      </c>
    </row>
    <row r="471" spans="14:14">
      <c r="N471" t="str">
        <f>IF(Customers!A471="","",Customers!A471&amp;" — "&amp;Customers!B471)</f>
        <v/>
      </c>
    </row>
    <row r="472" spans="14:14">
      <c r="N472" t="str">
        <f>IF(Customers!A472="","",Customers!A472&amp;" — "&amp;Customers!B472)</f>
        <v/>
      </c>
    </row>
    <row r="473" spans="14:14">
      <c r="N473" t="str">
        <f>IF(Customers!A473="","",Customers!A473&amp;" — "&amp;Customers!B473)</f>
        <v/>
      </c>
    </row>
    <row r="474" spans="14:14">
      <c r="N474" t="str">
        <f>IF(Customers!A474="","",Customers!A474&amp;" — "&amp;Customers!B474)</f>
        <v/>
      </c>
    </row>
    <row r="475" spans="14:14">
      <c r="N475" t="str">
        <f>IF(Customers!A475="","",Customers!A475&amp;" — "&amp;Customers!B475)</f>
        <v/>
      </c>
    </row>
    <row r="476" spans="14:14">
      <c r="N476" t="str">
        <f>IF(Customers!A476="","",Customers!A476&amp;" — "&amp;Customers!B476)</f>
        <v/>
      </c>
    </row>
    <row r="477" spans="14:14">
      <c r="N477" t="str">
        <f>IF(Customers!A477="","",Customers!A477&amp;" — "&amp;Customers!B477)</f>
        <v/>
      </c>
    </row>
    <row r="478" spans="14:14">
      <c r="N478" t="str">
        <f>IF(Customers!A478="","",Customers!A478&amp;" — "&amp;Customers!B478)</f>
        <v/>
      </c>
    </row>
    <row r="479" spans="14:14">
      <c r="N479" t="str">
        <f>IF(Customers!A479="","",Customers!A479&amp;" — "&amp;Customers!B479)</f>
        <v/>
      </c>
    </row>
    <row r="480" spans="14:14">
      <c r="N480" t="str">
        <f>IF(Customers!A480="","",Customers!A480&amp;" — "&amp;Customers!B480)</f>
        <v/>
      </c>
    </row>
    <row r="481" spans="14:14">
      <c r="N481" t="str">
        <f>IF(Customers!A481="","",Customers!A481&amp;" — "&amp;Customers!B481)</f>
        <v/>
      </c>
    </row>
    <row r="482" spans="14:14">
      <c r="N482" t="str">
        <f>IF(Customers!A482="","",Customers!A482&amp;" — "&amp;Customers!B482)</f>
        <v/>
      </c>
    </row>
    <row r="483" spans="14:14">
      <c r="N483" t="str">
        <f>IF(Customers!A483="","",Customers!A483&amp;" — "&amp;Customers!B483)</f>
        <v/>
      </c>
    </row>
    <row r="484" spans="14:14">
      <c r="N484" t="str">
        <f>IF(Customers!A484="","",Customers!A484&amp;" — "&amp;Customers!B484)</f>
        <v/>
      </c>
    </row>
    <row r="485" spans="14:14">
      <c r="N485" t="str">
        <f>IF(Customers!A485="","",Customers!A485&amp;" — "&amp;Customers!B485)</f>
        <v/>
      </c>
    </row>
    <row r="486" spans="14:14">
      <c r="N486" t="str">
        <f>IF(Customers!A486="","",Customers!A486&amp;" — "&amp;Customers!B486)</f>
        <v/>
      </c>
    </row>
    <row r="487" spans="14:14">
      <c r="N487" t="str">
        <f>IF(Customers!A487="","",Customers!A487&amp;" — "&amp;Customers!B487)</f>
        <v/>
      </c>
    </row>
    <row r="488" spans="14:14">
      <c r="N488" t="str">
        <f>IF(Customers!A488="","",Customers!A488&amp;" — "&amp;Customers!B488)</f>
        <v/>
      </c>
    </row>
    <row r="489" spans="14:14">
      <c r="N489" t="str">
        <f>IF(Customers!A489="","",Customers!A489&amp;" — "&amp;Customers!B489)</f>
        <v/>
      </c>
    </row>
    <row r="490" spans="14:14">
      <c r="N490" t="str">
        <f>IF(Customers!A490="","",Customers!A490&amp;" — "&amp;Customers!B490)</f>
        <v/>
      </c>
    </row>
    <row r="491" spans="14:14">
      <c r="N491" t="str">
        <f>IF(Customers!A491="","",Customers!A491&amp;" — "&amp;Customers!B491)</f>
        <v/>
      </c>
    </row>
    <row r="492" spans="14:14">
      <c r="N492" t="str">
        <f>IF(Customers!A492="","",Customers!A492&amp;" — "&amp;Customers!B492)</f>
        <v/>
      </c>
    </row>
    <row r="493" spans="14:14">
      <c r="N493" t="str">
        <f>IF(Customers!A493="","",Customers!A493&amp;" — "&amp;Customers!B493)</f>
        <v/>
      </c>
    </row>
    <row r="494" spans="14:14">
      <c r="N494" t="str">
        <f>IF(Customers!A494="","",Customers!A494&amp;" — "&amp;Customers!B494)</f>
        <v/>
      </c>
    </row>
    <row r="495" spans="14:14">
      <c r="N495" t="str">
        <f>IF(Customers!A495="","",Customers!A495&amp;" — "&amp;Customers!B495)</f>
        <v/>
      </c>
    </row>
    <row r="496" spans="14:14">
      <c r="N496" t="str">
        <f>IF(Customers!A496="","",Customers!A496&amp;" — "&amp;Customers!B496)</f>
        <v/>
      </c>
    </row>
    <row r="497" spans="14:14">
      <c r="N497" t="str">
        <f>IF(Customers!A497="","",Customers!A497&amp;" — "&amp;Customers!B497)</f>
        <v/>
      </c>
    </row>
    <row r="498" spans="14:14">
      <c r="N498" t="str">
        <f>IF(Customers!A498="","",Customers!A498&amp;" — "&amp;Customers!B498)</f>
        <v/>
      </c>
    </row>
    <row r="499" spans="14:14">
      <c r="N499" t="str">
        <f>IF(Customers!A499="","",Customers!A499&amp;" — "&amp;Customers!B499)</f>
        <v/>
      </c>
    </row>
    <row r="500" spans="14:14">
      <c r="N500" t="str">
        <f>IF(Customers!A500="","",Customers!A500&amp;" — "&amp;Customers!B500)</f>
        <v/>
      </c>
    </row>
    <row r="501" spans="14:14">
      <c r="N501" t="str">
        <f>IF(Customers!A501="","",Customers!A501&amp;" — "&amp;Customers!B501)</f>
        <v/>
      </c>
    </row>
    <row r="502" spans="14:14">
      <c r="N502" t="str">
        <f>IF(Customers!A502="","",Customers!A502&amp;" — "&amp;Customers!B502)</f>
        <v/>
      </c>
    </row>
    <row r="503" spans="14:14">
      <c r="N503" t="str">
        <f>IF(Customers!A503="","",Customers!A503&amp;" — "&amp;Customers!B503)</f>
        <v/>
      </c>
    </row>
    <row r="504" spans="14:14">
      <c r="N504" t="str">
        <f>IF(Customers!A504="","",Customers!A504&amp;" — "&amp;Customers!B504)</f>
        <v/>
      </c>
    </row>
  </sheetData>
  <mergeCells count="2">
    <mergeCell ref="A1:F1"/>
    <mergeCell ref="A2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F12"/>
  <sheetViews>
    <sheetView workbookViewId="0">
      <selection activeCell="A5" sqref="A5"/>
    </sheetView>
  </sheetViews>
  <sheetFormatPr defaultRowHeight="13.8"/>
  <cols>
    <col min="1" max="1" width="17.59765625" bestFit="1" customWidth="1"/>
    <col min="2" max="2" width="21.3984375" bestFit="1" customWidth="1"/>
    <col min="3" max="3" width="39" bestFit="1" customWidth="1"/>
    <col min="4" max="4" width="22.59765625" bestFit="1" customWidth="1"/>
    <col min="5" max="5" width="36.296875" bestFit="1" customWidth="1"/>
    <col min="6" max="6" width="31.69921875" bestFit="1" customWidth="1"/>
    <col min="7" max="7" width="7.296875" bestFit="1" customWidth="1"/>
    <col min="8" max="8" width="16" bestFit="1" customWidth="1"/>
    <col min="9" max="9" width="42.59765625" bestFit="1" customWidth="1"/>
    <col min="10" max="10" width="29" bestFit="1" customWidth="1"/>
    <col min="11" max="11" width="16.59765625" bestFit="1" customWidth="1"/>
  </cols>
  <sheetData>
    <row r="1" spans="1:32" ht="21">
      <c r="A1" s="101" t="s">
        <v>134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4.4">
      <c r="A2" s="102" t="s">
        <v>135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</row>
    <row r="4" spans="1:32">
      <c r="A4" s="1" t="s">
        <v>136</v>
      </c>
      <c r="B4" s="1" t="s">
        <v>137</v>
      </c>
      <c r="C4" s="1" t="s">
        <v>138</v>
      </c>
      <c r="D4" s="1" t="s">
        <v>139</v>
      </c>
      <c r="E4" s="1" t="s">
        <v>140</v>
      </c>
      <c r="F4" s="1" t="s">
        <v>141</v>
      </c>
      <c r="G4" s="1" t="s">
        <v>3</v>
      </c>
      <c r="H4" s="1" t="s">
        <v>142</v>
      </c>
      <c r="I4" s="1" t="s">
        <v>0</v>
      </c>
      <c r="J4" s="1" t="s">
        <v>143</v>
      </c>
      <c r="K4" s="1" t="s">
        <v>144</v>
      </c>
    </row>
    <row r="5" spans="1:32">
      <c r="A5" s="3" t="s">
        <v>145</v>
      </c>
      <c r="B5" s="3" t="s">
        <v>146</v>
      </c>
      <c r="C5" s="3" t="s">
        <v>147</v>
      </c>
      <c r="D5" s="3" t="s">
        <v>148</v>
      </c>
      <c r="E5" s="3" t="s">
        <v>149</v>
      </c>
      <c r="F5" s="3" t="s">
        <v>150</v>
      </c>
      <c r="G5" s="3" t="s">
        <v>6</v>
      </c>
      <c r="H5" s="3" t="s">
        <v>151</v>
      </c>
      <c r="I5" s="3" t="s">
        <v>152</v>
      </c>
      <c r="J5" s="3" t="s">
        <v>153</v>
      </c>
      <c r="K5" s="3" t="s">
        <v>154</v>
      </c>
    </row>
    <row r="6" spans="1:32">
      <c r="A6" s="3" t="s">
        <v>155</v>
      </c>
      <c r="B6" s="3" t="s">
        <v>156</v>
      </c>
      <c r="C6" s="3" t="s">
        <v>157</v>
      </c>
      <c r="D6" s="3" t="s">
        <v>8</v>
      </c>
      <c r="E6" s="3" t="s">
        <v>158</v>
      </c>
      <c r="F6" s="3" t="s">
        <v>159</v>
      </c>
      <c r="G6" s="3" t="s">
        <v>6</v>
      </c>
      <c r="H6" s="3" t="s">
        <v>160</v>
      </c>
      <c r="I6" s="3" t="s">
        <v>161</v>
      </c>
      <c r="J6" s="3" t="s">
        <v>162</v>
      </c>
      <c r="K6" s="3" t="s">
        <v>163</v>
      </c>
    </row>
    <row r="7" spans="1:32">
      <c r="A7" s="3" t="s">
        <v>9</v>
      </c>
      <c r="B7" s="3" t="s">
        <v>164</v>
      </c>
      <c r="C7" s="3" t="s">
        <v>165</v>
      </c>
      <c r="D7" s="3" t="s">
        <v>9</v>
      </c>
      <c r="E7" s="3" t="s">
        <v>166</v>
      </c>
      <c r="F7" s="3" t="s">
        <v>167</v>
      </c>
      <c r="G7" s="3" t="s">
        <v>6</v>
      </c>
      <c r="H7" s="3" t="s">
        <v>168</v>
      </c>
      <c r="I7" s="3" t="s">
        <v>169</v>
      </c>
      <c r="J7" s="3" t="s">
        <v>170</v>
      </c>
      <c r="K7" s="3" t="s">
        <v>171</v>
      </c>
    </row>
    <row r="8" spans="1:32">
      <c r="A8" s="3" t="s">
        <v>172</v>
      </c>
      <c r="B8" s="3" t="s">
        <v>173</v>
      </c>
      <c r="C8" s="3" t="s">
        <v>174</v>
      </c>
      <c r="D8" s="3" t="s">
        <v>175</v>
      </c>
      <c r="E8" s="3" t="s">
        <v>176</v>
      </c>
      <c r="F8" s="3" t="s">
        <v>177</v>
      </c>
      <c r="G8" s="3" t="s">
        <v>12</v>
      </c>
      <c r="H8" s="3" t="s">
        <v>178</v>
      </c>
      <c r="I8" s="3" t="s">
        <v>179</v>
      </c>
      <c r="J8" s="3" t="s">
        <v>180</v>
      </c>
      <c r="K8" s="3" t="s">
        <v>181</v>
      </c>
    </row>
    <row r="9" spans="1:32">
      <c r="A9" s="3" t="s">
        <v>182</v>
      </c>
      <c r="B9" s="3" t="s">
        <v>146</v>
      </c>
      <c r="C9" s="3" t="s">
        <v>183</v>
      </c>
      <c r="D9" s="3" t="s">
        <v>184</v>
      </c>
      <c r="E9" s="3" t="s">
        <v>185</v>
      </c>
      <c r="F9" s="3" t="s">
        <v>186</v>
      </c>
      <c r="G9" s="3" t="s">
        <v>6</v>
      </c>
      <c r="H9" s="3" t="s">
        <v>187</v>
      </c>
      <c r="I9" s="3" t="s">
        <v>188</v>
      </c>
      <c r="J9" s="3" t="s">
        <v>189</v>
      </c>
      <c r="K9" s="3" t="s">
        <v>190</v>
      </c>
    </row>
    <row r="10" spans="1:32">
      <c r="A10" s="3" t="s">
        <v>191</v>
      </c>
      <c r="B10" s="3" t="s">
        <v>5</v>
      </c>
      <c r="C10" s="3" t="s">
        <v>192</v>
      </c>
      <c r="D10" s="3" t="s">
        <v>8</v>
      </c>
      <c r="E10" s="3" t="s">
        <v>193</v>
      </c>
      <c r="F10" s="3" t="s">
        <v>194</v>
      </c>
      <c r="G10" s="3" t="s">
        <v>6</v>
      </c>
      <c r="H10" s="3" t="s">
        <v>195</v>
      </c>
      <c r="I10" s="3" t="s">
        <v>196</v>
      </c>
      <c r="J10" s="3" t="s">
        <v>197</v>
      </c>
      <c r="K10" s="3" t="s">
        <v>198</v>
      </c>
    </row>
    <row r="11" spans="1:32">
      <c r="A11" s="3" t="s">
        <v>11</v>
      </c>
      <c r="B11" s="3" t="s">
        <v>199</v>
      </c>
      <c r="C11" s="3" t="s">
        <v>200</v>
      </c>
      <c r="D11" s="3" t="s">
        <v>8</v>
      </c>
      <c r="E11" s="3" t="s">
        <v>201</v>
      </c>
      <c r="F11" s="3" t="s">
        <v>202</v>
      </c>
      <c r="G11" s="3" t="s">
        <v>6</v>
      </c>
      <c r="H11" s="3" t="s">
        <v>203</v>
      </c>
      <c r="I11" s="3" t="s">
        <v>204</v>
      </c>
      <c r="J11" s="3" t="s">
        <v>205</v>
      </c>
      <c r="K11" s="3" t="s">
        <v>206</v>
      </c>
    </row>
    <row r="12" spans="1:32">
      <c r="A12" s="3" t="s">
        <v>207</v>
      </c>
      <c r="B12" s="3" t="s">
        <v>2</v>
      </c>
      <c r="C12" s="3" t="s">
        <v>208</v>
      </c>
      <c r="D12" s="3" t="s">
        <v>209</v>
      </c>
      <c r="E12" s="3" t="s">
        <v>210</v>
      </c>
      <c r="F12" s="3" t="s">
        <v>211</v>
      </c>
      <c r="G12" s="3" t="s">
        <v>12</v>
      </c>
      <c r="H12" s="3" t="s">
        <v>212</v>
      </c>
      <c r="I12" s="3" t="s">
        <v>213</v>
      </c>
      <c r="J12" s="3" t="s">
        <v>214</v>
      </c>
      <c r="K12" s="3" t="s">
        <v>215</v>
      </c>
    </row>
  </sheetData>
  <mergeCells count="2">
    <mergeCell ref="A1:K1"/>
    <mergeCell ref="A2:K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Entry Form</vt:lpstr>
      <vt:lpstr>Customers</vt:lpstr>
      <vt:lpstr>Orders</vt:lpstr>
      <vt:lpstr>Measurements</vt:lpstr>
      <vt:lpstr>Lists</vt:lpstr>
      <vt:lpstr>Mini ERP Layout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Gagneet Singh</cp:lastModifiedBy>
  <dcterms:created xsi:type="dcterms:W3CDTF">2026-05-26T22:55:11Z</dcterms:created>
  <dcterms:modified xsi:type="dcterms:W3CDTF">2026-05-27T06:04:21Z</dcterms:modified>
</cp:coreProperties>
</file>